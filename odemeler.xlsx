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rive'ım\"/>
    </mc:Choice>
  </mc:AlternateContent>
  <xr:revisionPtr revIDLastSave="0" documentId="13_ncr:1_{6E7D72BE-B908-46B0-864E-A74E2D8C1FF5}" xr6:coauthVersionLast="47" xr6:coauthVersionMax="47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MALİK ÖDEMELERİ" sheetId="1" r:id="rId1"/>
    <sheet name="FON GELİR-GİDER" sheetId="2" r:id="rId2"/>
    <sheet name="GİDERLER TEMMUZ 2026" sheetId="10" r:id="rId3"/>
    <sheet name="GİDERLER HAZİRAN 2026" sheetId="9" r:id="rId4"/>
    <sheet name="GİDERLER MAYIS 2026" sheetId="8" r:id="rId5"/>
    <sheet name="GİDERLER NİSAN 2026" sheetId="3" r:id="rId6"/>
    <sheet name="GİDERLER MART 2026" sheetId="4" r:id="rId7"/>
    <sheet name="GİDERLER ŞUBAT 2026" sheetId="5" r:id="rId8"/>
    <sheet name="GİDERLER OCAK 2026" sheetId="6" r:id="rId9"/>
    <sheet name="GİDER ARALIK 2025 VE ÖNCESİ(2)" sheetId="7" r:id="rId10"/>
  </sheets>
  <calcPr calcId="191029"/>
  <extLst>
    <ext uri="GoogleSheetsCustomDataVersion2">
      <go:sheetsCustomData xmlns:go="http://customooxmlschemas.google.com/" r:id="rId11" roundtripDataChecksum="GtmYBpZ8b47+GVt8UazwB3GR97mzjUng0Cs+HOKWV6s="/>
    </ext>
  </extLst>
</workbook>
</file>

<file path=xl/calcChain.xml><?xml version="1.0" encoding="utf-8"?>
<calcChain xmlns="http://schemas.openxmlformats.org/spreadsheetml/2006/main">
  <c r="V45" i="1" l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4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4" i="1"/>
  <c r="V14" i="1"/>
  <c r="V15" i="1"/>
  <c r="V16" i="1"/>
  <c r="V17" i="1"/>
  <c r="V18" i="1"/>
  <c r="V19" i="1"/>
  <c r="V20" i="1"/>
  <c r="V21" i="1"/>
  <c r="V4" i="1"/>
  <c r="V5" i="1"/>
  <c r="V6" i="1"/>
  <c r="V7" i="1"/>
  <c r="V8" i="1"/>
  <c r="V9" i="1"/>
  <c r="V10" i="1"/>
  <c r="V11" i="1"/>
  <c r="V12" i="1"/>
  <c r="V13" i="1"/>
  <c r="M26" i="10"/>
  <c r="L26" i="10"/>
  <c r="AM27" i="1"/>
  <c r="AM29" i="1" s="1"/>
  <c r="AM21" i="1" s="1"/>
  <c r="M31" i="9" l="1"/>
  <c r="L31" i="9"/>
  <c r="O34" i="1" l="1"/>
  <c r="M32" i="8"/>
  <c r="AM20" i="1" s="1"/>
  <c r="L32" i="8"/>
  <c r="AM19" i="1" s="1"/>
  <c r="O5" i="1" l="1"/>
  <c r="M30" i="3"/>
  <c r="L30" i="3"/>
  <c r="O27" i="1"/>
  <c r="O12" i="1" l="1"/>
  <c r="O18" i="1" l="1"/>
  <c r="M33" i="7"/>
  <c r="L33" i="7"/>
  <c r="M29" i="6"/>
  <c r="L29" i="6"/>
  <c r="M30" i="5"/>
  <c r="L30" i="5"/>
  <c r="M29" i="4"/>
  <c r="L29" i="4"/>
  <c r="M12" i="2"/>
  <c r="M11" i="2"/>
  <c r="O61" i="1"/>
  <c r="O60" i="1"/>
  <c r="O59" i="1"/>
  <c r="O58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1" i="1"/>
  <c r="O40" i="1"/>
  <c r="O39" i="1"/>
  <c r="H39" i="1"/>
  <c r="O38" i="1"/>
  <c r="H38" i="1"/>
  <c r="O37" i="1"/>
  <c r="H37" i="1"/>
  <c r="O36" i="1"/>
  <c r="H36" i="1"/>
  <c r="O35" i="1"/>
  <c r="H34" i="1"/>
  <c r="O33" i="1"/>
  <c r="O32" i="1"/>
  <c r="H32" i="1"/>
  <c r="O31" i="1"/>
  <c r="H31" i="1"/>
  <c r="O30" i="1"/>
  <c r="H30" i="1"/>
  <c r="O29" i="1"/>
  <c r="H29" i="1"/>
  <c r="O28" i="1"/>
  <c r="H27" i="1"/>
  <c r="O26" i="1"/>
  <c r="H26" i="1"/>
  <c r="O25" i="1"/>
  <c r="H25" i="1"/>
  <c r="O24" i="1"/>
  <c r="H24" i="1"/>
  <c r="AM22" i="1"/>
  <c r="O21" i="1"/>
  <c r="H21" i="1"/>
  <c r="O20" i="1"/>
  <c r="O19" i="1"/>
  <c r="H18" i="1"/>
  <c r="O17" i="1"/>
  <c r="O16" i="1"/>
  <c r="H16" i="1"/>
  <c r="O15" i="1"/>
  <c r="H15" i="1"/>
  <c r="O14" i="1"/>
  <c r="H14" i="1"/>
  <c r="O13" i="1"/>
  <c r="H13" i="1"/>
  <c r="H12" i="1"/>
  <c r="O11" i="1"/>
  <c r="O10" i="1"/>
  <c r="H10" i="1"/>
  <c r="O9" i="1"/>
  <c r="O8" i="1"/>
  <c r="H8" i="1"/>
  <c r="O7" i="1"/>
  <c r="H7" i="1"/>
  <c r="O6" i="1"/>
  <c r="H6" i="1"/>
  <c r="H5" i="1"/>
  <c r="O4" i="1"/>
  <c r="H4" i="1"/>
  <c r="K23" i="2" l="1"/>
  <c r="M15" i="2"/>
  <c r="AP20" i="1"/>
  <c r="AM25" i="1"/>
  <c r="AP19" i="1"/>
  <c r="AP23" i="1" l="1"/>
</calcChain>
</file>

<file path=xl/sharedStrings.xml><?xml version="1.0" encoding="utf-8"?>
<sst xmlns="http://schemas.openxmlformats.org/spreadsheetml/2006/main" count="1053" uniqueCount="326">
  <si>
    <t>Nirvana Sitesi Hesap Listesi</t>
  </si>
  <si>
    <t>Daire No</t>
  </si>
  <si>
    <t>1.Taksit</t>
  </si>
  <si>
    <t>2.Taksit</t>
  </si>
  <si>
    <t>3.Taksit</t>
  </si>
  <si>
    <t>4.Taksit</t>
  </si>
  <si>
    <t>5.Taksit</t>
  </si>
  <si>
    <t>Tarih</t>
  </si>
  <si>
    <t>Ödeme</t>
  </si>
  <si>
    <t>Kalan</t>
  </si>
  <si>
    <t>Ödeme Türü</t>
  </si>
  <si>
    <t>Varsa Ödeme 2</t>
  </si>
  <si>
    <t>Açıklama</t>
  </si>
  <si>
    <t>A1-Hazine</t>
  </si>
  <si>
    <t>ÇELİK02</t>
  </si>
  <si>
    <t>A2- Ekrem Dolaş</t>
  </si>
  <si>
    <t>D</t>
  </si>
  <si>
    <t>saf beton çek</t>
  </si>
  <si>
    <t>ELEKTRİK KART</t>
  </si>
  <si>
    <t>Kart</t>
  </si>
  <si>
    <t>N</t>
  </si>
  <si>
    <t>200000 TL NAKİT, 200000 KREDİ KARTI İLE ÖDENDİ</t>
  </si>
  <si>
    <t>CELAL ARIK FAZLADAN 400 BİN TL ÖDEMESİ VAR</t>
  </si>
  <si>
    <t>A5-Hatice Pınarlı</t>
  </si>
  <si>
    <t>saf beton kart</t>
  </si>
  <si>
    <t>A6-Fatih Çakmak</t>
  </si>
  <si>
    <t>Nakit</t>
  </si>
  <si>
    <t>A7-Hatice Çetin</t>
  </si>
  <si>
    <t>NAKİT</t>
  </si>
  <si>
    <t>A8-Seda Doğan Fırat</t>
  </si>
  <si>
    <t>Kart Viesmann</t>
  </si>
  <si>
    <t>A9- Hacer Gül</t>
  </si>
  <si>
    <t>A10-Seyda Yapıcı</t>
  </si>
  <si>
    <t>285000 tl nakit, 115000 tl kart (ASELSEN ÇİPİ)ile ödendi</t>
  </si>
  <si>
    <t>A11-Sultan Yeşim Özer(İsmail özer</t>
  </si>
  <si>
    <t>A12-Sunay Çelik</t>
  </si>
  <si>
    <t>A13-Hatice Kübra Arıcı</t>
  </si>
  <si>
    <t>A14-Mirza Hoca</t>
  </si>
  <si>
    <t>400 NAKİT 200 Kart ile ödedi KÇS</t>
  </si>
  <si>
    <t>A15-Mehmet Gürsoy</t>
  </si>
  <si>
    <t>A16-Sinan Yetkiner</t>
  </si>
  <si>
    <t>150 bin çelik inşaata ödendi. Kalan bakiye 0</t>
  </si>
  <si>
    <t>TOPLAM NAKİT GİDER</t>
  </si>
  <si>
    <t>A17-Fatma Tutal</t>
  </si>
  <si>
    <t>ÇELİK 02</t>
  </si>
  <si>
    <t>TOPLAM ÇEK-KART GİDER</t>
  </si>
  <si>
    <t>A18-Alev Tutal</t>
  </si>
  <si>
    <t>toplam nakit gelir</t>
  </si>
  <si>
    <t>Çek-kart GELİR</t>
  </si>
  <si>
    <t>B1-Murat Özkan</t>
  </si>
  <si>
    <t>Çek</t>
  </si>
  <si>
    <t>B2-Hazine</t>
  </si>
  <si>
    <t>KASA</t>
  </si>
  <si>
    <t>B4-Mustafa Güzel</t>
  </si>
  <si>
    <t>B5-Cenap Atal</t>
  </si>
  <si>
    <t>B6-Yusuf Filik</t>
  </si>
  <si>
    <t xml:space="preserve">KÇS Gaz beton kart ile ödendi </t>
  </si>
  <si>
    <t>B7-Beytullah Gözel</t>
  </si>
  <si>
    <t>B8-Selçuk Fırat</t>
  </si>
  <si>
    <t>Saf beton kart</t>
  </si>
  <si>
    <t>B9-Bülent Canan</t>
  </si>
  <si>
    <t>B10-Sibel Doğan(Murat Doğan)</t>
  </si>
  <si>
    <t>B11-Hicri Toprak</t>
  </si>
  <si>
    <t>Mert Kule vinç</t>
  </si>
  <si>
    <t>B12-Rukiye Yüzer</t>
  </si>
  <si>
    <t>B13-Habip Dolaş</t>
  </si>
  <si>
    <t>B14-Nermin(Lami) AKIN</t>
  </si>
  <si>
    <t>B15-Gani Gürsoy</t>
  </si>
  <si>
    <t>KÇS Gaz beton kart ile ödendi (1.Ödeme 10.02.2026)          (2. Ödeme 02.03.2026)</t>
  </si>
  <si>
    <t>B16-Elif Özpolat</t>
  </si>
  <si>
    <t>B17-Abidin Dağdeviren</t>
  </si>
  <si>
    <t>B18- ÜNLÜ</t>
  </si>
  <si>
    <t>C1-Bilal Doğan</t>
  </si>
  <si>
    <t>C2-Şerif Yenen(HAZİNE)</t>
  </si>
  <si>
    <t>C3-Emre Dolaş</t>
  </si>
  <si>
    <t>C4-Ayten Doğan(Musa Tütüncü)</t>
  </si>
  <si>
    <t>C5-Nadide Yıkılmaz(Sinan)</t>
  </si>
  <si>
    <t>C6-Asiye Yüzer(Gani Hoca)</t>
  </si>
  <si>
    <t>C7-Şeref Yavuz</t>
  </si>
  <si>
    <t>C8-Orhan Öztürk</t>
  </si>
  <si>
    <t>C9-Sevda Hüsrafoğlu(Yaşar)</t>
  </si>
  <si>
    <t>C10-Halil İbrahim BİLGİN</t>
  </si>
  <si>
    <t>C11-Müzeyyen Tuzcu(Muhittin)</t>
  </si>
  <si>
    <t>C12-Ayşe Dolgun</t>
  </si>
  <si>
    <t>C13-Zümrüt LTD (Hazine)</t>
  </si>
  <si>
    <t>C14-Celal Arık</t>
  </si>
  <si>
    <t>C15-Ayhan Tutdere</t>
  </si>
  <si>
    <t>C16-Mehmet Akif Ünal</t>
  </si>
  <si>
    <t>C17-Hayati Yaylagül</t>
  </si>
  <si>
    <t>Kart 100 Nakit 200 (ÇİMKO)</t>
  </si>
  <si>
    <t>C18-Cafer Karakuş</t>
  </si>
  <si>
    <t>FON GELİR-GİDER</t>
  </si>
  <si>
    <t>GELİR</t>
  </si>
  <si>
    <t>GİDER</t>
  </si>
  <si>
    <t>Yatar Tutar</t>
  </si>
  <si>
    <t>Tutar</t>
  </si>
  <si>
    <t>Yakıt Ücreti</t>
  </si>
  <si>
    <t>TOPLAM GELİR</t>
  </si>
  <si>
    <t>TOPLAM GİDER</t>
  </si>
  <si>
    <t>KALAN</t>
  </si>
  <si>
    <t>SİTE GİDERLERİ VE SATIN ALIMLAR</t>
  </si>
  <si>
    <t>Taşeron Ödemesi</t>
  </si>
  <si>
    <t>Vitra 108 adet rezervuar</t>
  </si>
  <si>
    <t>Çalışan Ödemesi</t>
  </si>
  <si>
    <t>Demirci Ödemesi</t>
  </si>
  <si>
    <t>ÇİMKO</t>
  </si>
  <si>
    <t>Viesmann Sıhhi Tesisat Malzeme Ödeme</t>
  </si>
  <si>
    <t>ÇELİK İNŞAATA VERİLEN TOPLAM TUTAR</t>
  </si>
  <si>
    <t>Mastarcı Ödeme</t>
  </si>
  <si>
    <t>Personel Yemek Ödemesi</t>
  </si>
  <si>
    <t>Yeşilpark Demir Getirme</t>
  </si>
  <si>
    <t>Gaz Beton Manito</t>
  </si>
  <si>
    <t>Muhtelif Gider (Çeşitli Harcamalar)</t>
  </si>
  <si>
    <t>Kule Vinç Mert Ödeme</t>
  </si>
  <si>
    <t>Taşeron Ödeme (Malzeme Nakliye)</t>
  </si>
  <si>
    <t>Personel Ödeme</t>
  </si>
  <si>
    <t>Kurban ve Yemek Ücreti</t>
  </si>
  <si>
    <t>Kuzey Marmara Kalan SGK borcu</t>
  </si>
  <si>
    <t>Kulübe Yapım Ücreti</t>
  </si>
  <si>
    <t>DEMİR KÖŞEBENT VE İŞÇİLİK NAKLIYE MAKİNE ÜCRETLERİ NAKİT ÇEKİM</t>
  </si>
  <si>
    <t>Beton Astar ve Kulübe Tadilat Ücreti</t>
  </si>
  <si>
    <t>Adıyaman Ultra Yapı Malzemeleri</t>
  </si>
  <si>
    <t>Muhammed Başaran</t>
  </si>
  <si>
    <t>Nisa Nur Taşan Ödeme</t>
  </si>
  <si>
    <t>Kadir Akyüz Ödeme</t>
  </si>
  <si>
    <t>Mert Kule Vinç (Nisan)</t>
  </si>
  <si>
    <t>KÇS gaz beton</t>
  </si>
  <si>
    <t>Taşeron Ödeme</t>
  </si>
  <si>
    <t>Akedaş Ödeme</t>
  </si>
  <si>
    <t>Ultra Beton Ödeme</t>
  </si>
  <si>
    <t>Çivi Tel Hırdavat İçin Nakit Çekim</t>
  </si>
  <si>
    <t>FİŞLİ ÖDEMELER EK KÖŞEBEND KESİM ÜCRETİ NAKLİYE TEL ÇİVİ PERSONEL OFİS</t>
  </si>
  <si>
    <t>Kule Operatörü Ödeme</t>
  </si>
  <si>
    <t>MÜTAHİT BELGELER, YEŞİLPARK DEMİR,PVC KULÜBE PARA ÇEKME</t>
  </si>
  <si>
    <t>03.02.2026 mutahitlik sözleşmesine istinaden ödeme</t>
  </si>
  <si>
    <t>Manito Ücreti</t>
  </si>
  <si>
    <t>Kule vinç operatör maaş avans</t>
  </si>
  <si>
    <t>BETON ÖDEMESİ HGG ÇİMKO</t>
  </si>
  <si>
    <t>Bayram ve diğer ödemeler</t>
  </si>
  <si>
    <t>Duvarcı Ödemesi</t>
  </si>
  <si>
    <t>İş Güvenliği ödemesi</t>
  </si>
  <si>
    <t>Karot Beton Lab Ödemesi</t>
  </si>
  <si>
    <t>Personel Yemek</t>
  </si>
  <si>
    <t>Hırdavat(Tamir Harcı, Silikon, Bürüt Astar, Boya Malzemesi)</t>
  </si>
  <si>
    <t>Demir Ödemesi</t>
  </si>
  <si>
    <t>Tel-Çivi-Duvar Silikonu-Spiral Taşı  Ödemesi</t>
  </si>
  <si>
    <t>SSK Ödemesi</t>
  </si>
  <si>
    <t>LAB Beton</t>
  </si>
  <si>
    <t>Şantiye Şef Ödemesi</t>
  </si>
  <si>
    <t>Gündüzcü Bekçi Kadir Akyüz Ödeme</t>
  </si>
  <si>
    <t>Kule Vinç Personel Ödemesi</t>
  </si>
  <si>
    <t>B Blok Mastar İşçilik</t>
  </si>
  <si>
    <t>Beton Ultra Yapı Ödeme</t>
  </si>
  <si>
    <t>Adıyaman Defterdarlık</t>
  </si>
  <si>
    <t>Demir Nakliye</t>
  </si>
  <si>
    <t>Demir Kalıp İşçiliği</t>
  </si>
  <si>
    <t>AKEDAŞ Fatura</t>
  </si>
  <si>
    <t>Kule Vinç Dışarıdan Yevmiye</t>
  </si>
  <si>
    <t>KÇS Gaz beton</t>
  </si>
  <si>
    <t>ÇİMKO Beton Ödeme</t>
  </si>
  <si>
    <t>Müteahhit Belge Ücreti Ödemesi</t>
  </si>
  <si>
    <t>SAF Beton Ödemesi</t>
  </si>
  <si>
    <t>Demir Ödemesi (Mutaş Hafriyat)</t>
  </si>
  <si>
    <t>Noter Sözleşmesi ve Dosya Ücreti</t>
  </si>
  <si>
    <t>İnşaat Malzeme (çivi, çapak gözlüğü, demir taşı, el arabası vd)</t>
  </si>
  <si>
    <t>Muhtelif Gider</t>
  </si>
  <si>
    <t>İç Mimar Ödeme (Taksit 1/4)</t>
  </si>
  <si>
    <t>Kule vinç kalan</t>
  </si>
  <si>
    <t>şantiye şefi ödeme</t>
  </si>
  <si>
    <t>Kalıp demir malzeme-kule vinç</t>
  </si>
  <si>
    <t>MUTAŞ HAFRİYAT İNŞAAT TAŞIMACILIK (Demir</t>
  </si>
  <si>
    <t>SAF HAZIR BETON</t>
  </si>
  <si>
    <t>DEMİR KALIP İŞÇİLİĞİ</t>
  </si>
  <si>
    <t>MUHTELİF-İNŞAAT MALZ-NOTER FESİH ESKİ FİRMA</t>
  </si>
  <si>
    <t>SAMED BOYBEY (HAFRİYAT)</t>
  </si>
  <si>
    <t>Bblok harita işlem ücreti</t>
  </si>
  <si>
    <t>Yetiş Elektrik Bakır Kablo Ücreti 41000 m</t>
  </si>
  <si>
    <t>Aselsan Ultra Lab Çipi-450 adet çip alındı</t>
  </si>
  <si>
    <t>Yetiş Elektrik İşçilik Ücreti Nakit 1. Taksit</t>
  </si>
  <si>
    <t>40 Ton demir</t>
  </si>
  <si>
    <t>DEMİR-TEL-ÇİVİ</t>
  </si>
  <si>
    <t>NOTER SÖZLEŞMELERİ-BELEDİYE HARÇLARI</t>
  </si>
  <si>
    <t>MUHTELİF GİDER(PERSONEL YEMEKLER VE TOPLANTI GİDERİ)</t>
  </si>
  <si>
    <t>Yeni Şantiye Şef Noter Sözleşme Ücreti</t>
  </si>
  <si>
    <t>BEKÇİ GİDERİ</t>
  </si>
  <si>
    <t>AKEDAŞ ABONELİK VE FATURA</t>
  </si>
  <si>
    <t>NOTER SÖZLEŞME MUVAFFAKATNAME MASRAF</t>
  </si>
  <si>
    <t>TOPLANTI GİDERİ</t>
  </si>
  <si>
    <t>YÖNETİM GİDERİ</t>
  </si>
  <si>
    <t>BEKÇİ ÜCRETİ - YENİ SÖZLEŞME</t>
  </si>
  <si>
    <t>HARİTACI-ANAHTARCI FATİH KULE VİNÇ GİDER</t>
  </si>
  <si>
    <t>KULE VİNÇ KURULUM İŞÇİ MASRAFI</t>
  </si>
  <si>
    <t>PERSONEL GİDERİ</t>
  </si>
  <si>
    <t>Kule Vinç Kiralama 2 aylık ödeme(Ocak-Şubat 2026)</t>
  </si>
  <si>
    <t>Fatih Solmaz(Önceki Taşeron hesabı kapatıldı)-Gitti</t>
  </si>
  <si>
    <t>Demir-Tel-Çivi-Nakliye</t>
  </si>
  <si>
    <t>Saf Beton</t>
  </si>
  <si>
    <t>Kule Vinç Personel Ön Ödeme</t>
  </si>
  <si>
    <t>Önceki Şantiye Şefi-Heabı Kapatıldı Gitti</t>
  </si>
  <si>
    <t>Kule Vinç Elektrik İşlemi</t>
  </si>
  <si>
    <t>Eletrik Faturası</t>
  </si>
  <si>
    <t>Nisa TAŞAN(Mühendis)-Aralık</t>
  </si>
  <si>
    <t>Kadir AKYÜZ (Gündüzcü)-Aralık</t>
  </si>
  <si>
    <t>Demir Alım  Kaporası</t>
  </si>
  <si>
    <t xml:space="preserve">Muhtelif Gider </t>
  </si>
  <si>
    <t>SAMED BOYBEY(B blok hafriyat işi ödemesi)</t>
  </si>
  <si>
    <t>Kalıp Demir İşçilik</t>
  </si>
  <si>
    <t>HGG Güvenç ÇİMKO</t>
  </si>
  <si>
    <t xml:space="preserve">Kart </t>
  </si>
  <si>
    <t>gelir</t>
  </si>
  <si>
    <t>gider</t>
  </si>
  <si>
    <t>Tel ve Çivi Pas Payı Ödemesi</t>
  </si>
  <si>
    <t>Personel Eksik Ödeme</t>
  </si>
  <si>
    <t>Muhtelif Gider (Kantar ödemesi vs.)</t>
  </si>
  <si>
    <t>Akedaş Fatura</t>
  </si>
  <si>
    <t>Noter Ücreti</t>
  </si>
  <si>
    <t>Yetiş Elektrik</t>
  </si>
  <si>
    <t>Karot Ödemesi</t>
  </si>
  <si>
    <t>Karar Defterine Göre İsmail Fırat Ödeme</t>
  </si>
  <si>
    <t>14-16.04.2026</t>
  </si>
  <si>
    <t>14 Nisan Nakit- 16 Nisan Kart</t>
  </si>
  <si>
    <t>İç Mimar Ödeme (Taksit 3/4)</t>
  </si>
  <si>
    <t>İç Mimar Ödeme (Taksit 2/4) -Bilal Yanmaz</t>
  </si>
  <si>
    <t>ÇİMKO ÇEK</t>
  </si>
  <si>
    <t>50 bin nakit 250 bin kart</t>
  </si>
  <si>
    <t>15-17.04.2026</t>
  </si>
  <si>
    <t>1-17.04.2026</t>
  </si>
  <si>
    <t>14-17.04.2026</t>
  </si>
  <si>
    <t>Kepçe Kum Silindir</t>
  </si>
  <si>
    <t>Brüt Astar-Hırdavat</t>
  </si>
  <si>
    <t>Müteahhit Sözleşme Ödemesi</t>
  </si>
  <si>
    <t>6-17.04.2026</t>
  </si>
  <si>
    <t>İş Güvenliği Ödemesi</t>
  </si>
  <si>
    <t>13-20.04.2026</t>
  </si>
  <si>
    <t>Mastarcı Betonu Ödemesi</t>
  </si>
  <si>
    <t xml:space="preserve">KÇS gaz beton </t>
  </si>
  <si>
    <t>150 bin Nakit 150 bin kart</t>
  </si>
  <si>
    <t>17-21.04.2026</t>
  </si>
  <si>
    <t>Müteahhit Belge Ödemesi</t>
  </si>
  <si>
    <t>Sıhhi Tesisat İşçilik Ön Ödemesi</t>
  </si>
  <si>
    <t>15-22.04.2026</t>
  </si>
  <si>
    <t>B3- Nurhayat Coşkuner</t>
  </si>
  <si>
    <t>A4-Mustafa Taner Taştan</t>
  </si>
  <si>
    <t>A3- Hakan Uçarer</t>
  </si>
  <si>
    <t>Malzeme Ödemesi(1 aylık tel, çivi, pas payı, duvar köpüğü, rulo vb.)</t>
  </si>
  <si>
    <t>Viesmann Sıhhi Tesisat Malzeme Kalan BorçÖdeme</t>
  </si>
  <si>
    <t>150 bin KÇS ye kart ile ödendi, 150 bin tl çimkoya ödendi fatura bekleniyor</t>
  </si>
  <si>
    <t>15-29.04.2026</t>
  </si>
  <si>
    <t>SGK Ödemesi</t>
  </si>
  <si>
    <t>Elektrik Kablo Boru Ücreti</t>
  </si>
  <si>
    <t>Şantiye Şefi Maaş</t>
  </si>
  <si>
    <t>Gündüzcü Ödeme</t>
  </si>
  <si>
    <t>Kule Vinç Ödeme</t>
  </si>
  <si>
    <t>Gece Bekçisi Ödeme</t>
  </si>
  <si>
    <t>Brüt Astar İşçilik Ödemesi</t>
  </si>
  <si>
    <t>Kurban Ücreti</t>
  </si>
  <si>
    <t xml:space="preserve">Kart- 50.000 Nakit </t>
  </si>
  <si>
    <t>Taşeron Kalıp Demir İşçiliği</t>
  </si>
  <si>
    <t>Brüt Astar, Tamir Harcı, Bahçe Su İşleri Toplam Kalan Borç Ödemesi</t>
  </si>
  <si>
    <t>Tel, Çivi, Spiral</t>
  </si>
  <si>
    <t>Elektrik Faturası Şantiye</t>
  </si>
  <si>
    <t>File Ödemesi</t>
  </si>
  <si>
    <t>Taşeron Kalıp Demir ve Malzeme</t>
  </si>
  <si>
    <t>İç Mimar Ödeme (Taksit 4/4)</t>
  </si>
  <si>
    <t>Köşebent, Çimento, Nakliye</t>
  </si>
  <si>
    <t>KÇS Gaz Beton</t>
  </si>
  <si>
    <t>İkinci El File Ödemesi</t>
  </si>
  <si>
    <t>Beton Karot Ücreti</t>
  </si>
  <si>
    <t xml:space="preserve"> DUVARCILAR,MASA SANDALYE MICIR PERSONEL ÖDEMESİ KÖŞEBENDE KESİM VE NAKLİYE GİDER ÖDEMELERİ</t>
  </si>
  <si>
    <t>Personel Asgari Ödemeleri</t>
  </si>
  <si>
    <t>Özgüneş Yapı Drenaj Boru Ücreti</t>
  </si>
  <si>
    <t>SGK Prim Ödemesi</t>
  </si>
  <si>
    <t>Taşeron Kalıp Demir İşçilik</t>
  </si>
  <si>
    <t>İş Güvenliği File Ücreti</t>
  </si>
  <si>
    <t>Drenaj Beton Blok ve Nakliye Ücreti</t>
  </si>
  <si>
    <t>Bina Yalıtım, Astar, Tamirat</t>
  </si>
  <si>
    <t>Drenaj Sıhhi Tesisat İşlemi</t>
  </si>
  <si>
    <t>Köşebent Kesim Kalan Ücret</t>
  </si>
  <si>
    <t>Mıcır Kalan Ödeme</t>
  </si>
  <si>
    <t>Elektrik Faturası</t>
  </si>
  <si>
    <t>Kule Vinç Şaryo Halat Tamiratı</t>
  </si>
  <si>
    <t>Hidrofor ve Genleşme Tankı</t>
  </si>
  <si>
    <t>Harita İşlemi</t>
  </si>
  <si>
    <t>Aylık yemek, market, küçük hırdavat malzeme, toplantı vd. ödemeleri</t>
  </si>
  <si>
    <t>GELEN NAKİT</t>
  </si>
  <si>
    <t>HAKEDİŞ</t>
  </si>
  <si>
    <t>TOPLAM NAKİT GELİR</t>
  </si>
  <si>
    <t>tm</t>
  </si>
  <si>
    <t>Stopaj Ücreti</t>
  </si>
  <si>
    <t>Buzbolabı Ücreti</t>
  </si>
  <si>
    <t>YAZICI ÖNCEKİ ÖDEMELERDEN KALAN BAKİYE VE BİLGİSAYAR BEDELİ</t>
  </si>
  <si>
    <t>Beton Mastarcı Ücreti</t>
  </si>
  <si>
    <t>Bahçe Dolgu hafriyat</t>
  </si>
  <si>
    <t>Personel Avans Ödemesi (Gece Bekçisi)</t>
  </si>
  <si>
    <t>Demir Kdv tevfikat ödemesi</t>
  </si>
  <si>
    <t>İŞ Güvenliği Ödemesi</t>
  </si>
  <si>
    <t>Tel Çivi Ödemesi</t>
  </si>
  <si>
    <t>PERSONEL YEMEK,HIRDAVAT,TOPLANTI VE BUNLARIN EKSİK KALAN TUTARI</t>
  </si>
  <si>
    <t>Gaz Beton Eksik Kalan Ödeme</t>
  </si>
  <si>
    <t>Beton Ödemesi</t>
  </si>
  <si>
    <t>İşçiler için yemek</t>
  </si>
  <si>
    <t>PERSONEL MARKET YEMEK KAFE TOPLANTI KIRTASİYE MUHTELİF</t>
  </si>
  <si>
    <t>Çimko Kart</t>
  </si>
  <si>
    <t>HGG Çimko Beton Ödemesi</t>
  </si>
  <si>
    <t>Muhtelif Hırdavat Malzemeleri</t>
  </si>
  <si>
    <t>Kule Vinç Nakliye</t>
  </si>
  <si>
    <t>Kule Vinç Personel Ödeme</t>
  </si>
  <si>
    <t>ok</t>
  </si>
  <si>
    <t>Stopaj Ödemesi</t>
  </si>
  <si>
    <t>İsmail Fırat eksik ödeme (şubat)</t>
  </si>
  <si>
    <t>Aselsan Çip, HGG Çimko</t>
  </si>
  <si>
    <t>Aselsan Çip</t>
  </si>
  <si>
    <t>250 Çimko, 50 bin nakit</t>
  </si>
  <si>
    <t>Elektrik İşçilik Ücreti</t>
  </si>
  <si>
    <t>İsmail Fırat ödeme</t>
  </si>
  <si>
    <t>Fondan kalan para</t>
  </si>
  <si>
    <t>Bürüt Astar İşçilik Ödemesi</t>
  </si>
  <si>
    <t>Taşeron Kalıp Demir İşçilik Ödemesi</t>
  </si>
  <si>
    <t>3 Blok Güvenlik File Söküm İşçiliği</t>
  </si>
  <si>
    <t>Duvar İşçiliği</t>
  </si>
  <si>
    <t>150 ÇİMKO</t>
  </si>
  <si>
    <t>150 ÇİMKO 150 Nakit</t>
  </si>
  <si>
    <t>Müteahhit Sözleşme Ödemesi (Haziran Ayından Kalan)</t>
  </si>
  <si>
    <t>Kepçe Ödemesi</t>
  </si>
  <si>
    <t>KDV Tevfikat ve Stopaj Ödemesi</t>
  </si>
  <si>
    <t>Beton Mastar İşçilik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</si>
</sst>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&quot;₺&quot;#,##0.00"/>
    <numFmt numFmtId="165" formatCode="_-&quot;₺&quot;* #,##0.00_-;\-&quot;₺&quot;* #,##0.00_-;_-&quot;₺&quot;* &quot;-&quot;??_-;_-@"/>
    <numFmt numFmtId="166" formatCode="_-[$₺-41F]* #,##0.00_-;\-[$₺-41F]* #,##0.00_-;_-[$₺-41F]* &quot;-&quot;??_-;_-@"/>
    <numFmt numFmtId="167" formatCode="_-[$₺-41F]* #,##0.00_-;\-[$₺-41F]* #,##0.00_-;_-[$₺-41F]* &quot;-&quot;??_-;_-@_-"/>
    <numFmt numFmtId="168" formatCode="[$₺-41F]#,##0.00;\-[$₺-41F]#,##0.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b/>
      <sz val="22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164" fontId="5" fillId="2" borderId="18" xfId="0" applyNumberFormat="1" applyFont="1" applyFill="1" applyBorder="1"/>
    <xf numFmtId="164" fontId="5" fillId="0" borderId="18" xfId="0" applyNumberFormat="1" applyFont="1" applyBorder="1"/>
    <xf numFmtId="164" fontId="5" fillId="0" borderId="20" xfId="0" applyNumberFormat="1" applyFont="1" applyBorder="1"/>
    <xf numFmtId="164" fontId="5" fillId="0" borderId="21" xfId="0" applyNumberFormat="1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0" xfId="0" applyFont="1" applyBorder="1"/>
    <xf numFmtId="0" fontId="5" fillId="0" borderId="23" xfId="0" applyFont="1" applyBorder="1"/>
    <xf numFmtId="164" fontId="5" fillId="3" borderId="18" xfId="0" applyNumberFormat="1" applyFont="1" applyFill="1" applyBorder="1"/>
    <xf numFmtId="14" fontId="5" fillId="0" borderId="17" xfId="0" applyNumberFormat="1" applyFont="1" applyBorder="1"/>
    <xf numFmtId="164" fontId="5" fillId="3" borderId="24" xfId="0" applyNumberFormat="1" applyFont="1" applyFill="1" applyBorder="1"/>
    <xf numFmtId="0" fontId="5" fillId="0" borderId="19" xfId="0" applyFont="1" applyBorder="1" applyAlignment="1">
      <alignment wrapText="1"/>
    </xf>
    <xf numFmtId="0" fontId="6" fillId="0" borderId="0" xfId="0" applyFont="1"/>
    <xf numFmtId="164" fontId="5" fillId="4" borderId="18" xfId="0" applyNumberFormat="1" applyFont="1" applyFill="1" applyBorder="1"/>
    <xf numFmtId="0" fontId="5" fillId="0" borderId="21" xfId="0" applyFont="1" applyBorder="1" applyAlignment="1">
      <alignment wrapText="1"/>
    </xf>
    <xf numFmtId="0" fontId="5" fillId="0" borderId="19" xfId="0" applyFont="1" applyBorder="1" applyAlignment="1">
      <alignment vertical="top" wrapText="1"/>
    </xf>
    <xf numFmtId="0" fontId="4" fillId="0" borderId="16" xfId="0" applyFont="1" applyBorder="1" applyAlignment="1">
      <alignment wrapText="1"/>
    </xf>
    <xf numFmtId="164" fontId="5" fillId="3" borderId="18" xfId="0" applyNumberFormat="1" applyFont="1" applyFill="1" applyBorder="1" applyAlignment="1">
      <alignment wrapText="1"/>
    </xf>
    <xf numFmtId="14" fontId="5" fillId="0" borderId="25" xfId="0" applyNumberFormat="1" applyFont="1" applyBorder="1"/>
    <xf numFmtId="0" fontId="7" fillId="0" borderId="0" xfId="0" applyFont="1"/>
    <xf numFmtId="164" fontId="7" fillId="0" borderId="0" xfId="0" applyNumberFormat="1" applyFont="1"/>
    <xf numFmtId="164" fontId="5" fillId="0" borderId="0" xfId="0" applyNumberFormat="1" applyFont="1"/>
    <xf numFmtId="165" fontId="7" fillId="0" borderId="0" xfId="0" applyNumberFormat="1" applyFont="1"/>
    <xf numFmtId="0" fontId="4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164" fontId="5" fillId="0" borderId="30" xfId="0" applyNumberFormat="1" applyFont="1" applyBorder="1"/>
    <xf numFmtId="0" fontId="5" fillId="0" borderId="31" xfId="0" applyFont="1" applyBorder="1"/>
    <xf numFmtId="164" fontId="5" fillId="0" borderId="32" xfId="0" applyNumberFormat="1" applyFont="1" applyBorder="1"/>
    <xf numFmtId="164" fontId="5" fillId="0" borderId="33" xfId="0" applyNumberFormat="1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2" xfId="0" applyFont="1" applyBorder="1"/>
    <xf numFmtId="0" fontId="5" fillId="0" borderId="30" xfId="0" applyFont="1" applyBorder="1"/>
    <xf numFmtId="0" fontId="5" fillId="0" borderId="35" xfId="0" applyFont="1" applyBorder="1"/>
    <xf numFmtId="0" fontId="5" fillId="0" borderId="36" xfId="0" applyFont="1" applyBorder="1"/>
    <xf numFmtId="0" fontId="4" fillId="0" borderId="37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18" xfId="0" applyFont="1" applyBorder="1"/>
    <xf numFmtId="0" fontId="4" fillId="0" borderId="20" xfId="0" applyFont="1" applyBorder="1"/>
    <xf numFmtId="0" fontId="4" fillId="0" borderId="19" xfId="0" applyFont="1" applyBorder="1"/>
    <xf numFmtId="0" fontId="5" fillId="0" borderId="25" xfId="0" applyFont="1" applyBorder="1"/>
    <xf numFmtId="0" fontId="5" fillId="0" borderId="20" xfId="0" applyFont="1" applyBorder="1" applyAlignment="1">
      <alignment wrapText="1"/>
    </xf>
    <xf numFmtId="0" fontId="5" fillId="0" borderId="42" xfId="0" applyFont="1" applyBorder="1"/>
    <xf numFmtId="164" fontId="5" fillId="3" borderId="43" xfId="0" applyNumberFormat="1" applyFont="1" applyFill="1" applyBorder="1"/>
    <xf numFmtId="164" fontId="5" fillId="5" borderId="18" xfId="0" applyNumberFormat="1" applyFont="1" applyFill="1" applyBorder="1"/>
    <xf numFmtId="0" fontId="4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164" fontId="5" fillId="4" borderId="46" xfId="0" applyNumberFormat="1" applyFont="1" applyFill="1" applyBorder="1"/>
    <xf numFmtId="164" fontId="5" fillId="0" borderId="46" xfId="0" applyNumberFormat="1" applyFont="1" applyBorder="1"/>
    <xf numFmtId="164" fontId="5" fillId="0" borderId="47" xfId="0" applyNumberFormat="1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14" fontId="5" fillId="0" borderId="0" xfId="0" applyNumberFormat="1" applyFont="1"/>
    <xf numFmtId="165" fontId="5" fillId="3" borderId="53" xfId="0" applyNumberFormat="1" applyFont="1" applyFill="1" applyBorder="1"/>
    <xf numFmtId="165" fontId="5" fillId="3" borderId="54" xfId="0" applyNumberFormat="1" applyFont="1" applyFill="1" applyBorder="1"/>
    <xf numFmtId="166" fontId="5" fillId="0" borderId="0" xfId="0" applyNumberFormat="1" applyFont="1"/>
    <xf numFmtId="165" fontId="5" fillId="0" borderId="0" xfId="0" applyNumberFormat="1" applyFont="1"/>
    <xf numFmtId="0" fontId="4" fillId="0" borderId="0" xfId="0" applyFont="1"/>
    <xf numFmtId="165" fontId="5" fillId="3" borderId="18" xfId="0" applyNumberFormat="1" applyFont="1" applyFill="1" applyBorder="1"/>
    <xf numFmtId="14" fontId="5" fillId="5" borderId="53" xfId="0" applyNumberFormat="1" applyFont="1" applyFill="1" applyBorder="1"/>
    <xf numFmtId="0" fontId="5" fillId="5" borderId="53" xfId="0" applyFont="1" applyFill="1" applyBorder="1"/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165" fontId="5" fillId="3" borderId="54" xfId="0" applyNumberFormat="1" applyFont="1" applyFill="1" applyBorder="1" applyAlignment="1">
      <alignment wrapText="1"/>
    </xf>
    <xf numFmtId="17" fontId="5" fillId="0" borderId="0" xfId="0" applyNumberFormat="1" applyFont="1"/>
    <xf numFmtId="14" fontId="4" fillId="0" borderId="0" xfId="0" applyNumberFormat="1" applyFont="1"/>
    <xf numFmtId="14" fontId="5" fillId="0" borderId="31" xfId="0" applyNumberFormat="1" applyFont="1" applyBorder="1"/>
    <xf numFmtId="14" fontId="0" fillId="0" borderId="0" xfId="0" applyNumberFormat="1"/>
    <xf numFmtId="164" fontId="5" fillId="0" borderId="53" xfId="0" applyNumberFormat="1" applyFont="1" applyBorder="1"/>
    <xf numFmtId="165" fontId="5" fillId="3" borderId="43" xfId="0" applyNumberFormat="1" applyFont="1" applyFill="1" applyBorder="1"/>
    <xf numFmtId="165" fontId="5" fillId="3" borderId="55" xfId="0" applyNumberFormat="1" applyFont="1" applyFill="1" applyBorder="1"/>
    <xf numFmtId="14" fontId="5" fillId="0" borderId="42" xfId="0" applyNumberFormat="1" applyFont="1" applyBorder="1"/>
    <xf numFmtId="44" fontId="5" fillId="3" borderId="55" xfId="1" applyFont="1" applyFill="1" applyBorder="1"/>
    <xf numFmtId="165" fontId="5" fillId="3" borderId="56" xfId="0" applyNumberFormat="1" applyFont="1" applyFill="1" applyBorder="1"/>
    <xf numFmtId="14" fontId="0" fillId="0" borderId="55" xfId="0" applyNumberFormat="1" applyBorder="1"/>
    <xf numFmtId="0" fontId="0" fillId="0" borderId="55" xfId="0" applyBorder="1"/>
    <xf numFmtId="14" fontId="5" fillId="0" borderId="48" xfId="0" applyNumberFormat="1" applyFont="1" applyBorder="1"/>
    <xf numFmtId="0" fontId="0" fillId="0" borderId="53" xfId="0" applyBorder="1"/>
    <xf numFmtId="0" fontId="0" fillId="0" borderId="53" xfId="0" applyBorder="1" applyAlignment="1">
      <alignment wrapText="1"/>
    </xf>
    <xf numFmtId="14" fontId="5" fillId="0" borderId="55" xfId="0" applyNumberFormat="1" applyFont="1" applyBorder="1"/>
    <xf numFmtId="0" fontId="6" fillId="0" borderId="55" xfId="0" applyFont="1" applyBorder="1"/>
    <xf numFmtId="14" fontId="5" fillId="0" borderId="53" xfId="0" applyNumberFormat="1" applyFont="1" applyBorder="1"/>
    <xf numFmtId="14" fontId="5" fillId="0" borderId="55" xfId="0" applyNumberFormat="1" applyFont="1" applyBorder="1" applyAlignment="1">
      <alignment vertical="center"/>
    </xf>
    <xf numFmtId="0" fontId="5" fillId="0" borderId="55" xfId="0" applyFont="1" applyBorder="1" applyAlignment="1">
      <alignment wrapText="1"/>
    </xf>
    <xf numFmtId="0" fontId="6" fillId="0" borderId="53" xfId="0" applyFont="1" applyBorder="1"/>
    <xf numFmtId="165" fontId="5" fillId="3" borderId="57" xfId="0" applyNumberFormat="1" applyFont="1" applyFill="1" applyBorder="1"/>
    <xf numFmtId="0" fontId="0" fillId="0" borderId="55" xfId="0" applyBorder="1" applyAlignment="1">
      <alignment wrapText="1"/>
    </xf>
    <xf numFmtId="0" fontId="0" fillId="0" borderId="56" xfId="0" applyBorder="1"/>
    <xf numFmtId="164" fontId="9" fillId="0" borderId="0" xfId="0" applyNumberFormat="1" applyFont="1"/>
    <xf numFmtId="164" fontId="0" fillId="0" borderId="0" xfId="0" applyNumberFormat="1"/>
    <xf numFmtId="0" fontId="4" fillId="6" borderId="16" xfId="0" applyFont="1" applyFill="1" applyBorder="1"/>
    <xf numFmtId="164" fontId="5" fillId="6" borderId="18" xfId="0" applyNumberFormat="1" applyFont="1" applyFill="1" applyBorder="1"/>
    <xf numFmtId="164" fontId="5" fillId="6" borderId="32" xfId="0" applyNumberFormat="1" applyFont="1" applyFill="1" applyBorder="1"/>
    <xf numFmtId="164" fontId="5" fillId="6" borderId="46" xfId="0" applyNumberFormat="1" applyFont="1" applyFill="1" applyBorder="1"/>
    <xf numFmtId="164" fontId="5" fillId="6" borderId="20" xfId="0" applyNumberFormat="1" applyFont="1" applyFill="1" applyBorder="1"/>
    <xf numFmtId="164" fontId="11" fillId="7" borderId="18" xfId="0" applyNumberFormat="1" applyFont="1" applyFill="1" applyBorder="1"/>
    <xf numFmtId="164" fontId="10" fillId="0" borderId="20" xfId="0" applyNumberFormat="1" applyFont="1" applyBorder="1"/>
    <xf numFmtId="0" fontId="0" fillId="0" borderId="0" xfId="0" applyAlignment="1">
      <alignment wrapText="1"/>
    </xf>
    <xf numFmtId="0" fontId="7" fillId="6" borderId="0" xfId="0" applyFont="1" applyFill="1"/>
    <xf numFmtId="164" fontId="7" fillId="6" borderId="0" xfId="0" applyNumberFormat="1" applyFont="1" applyFill="1"/>
    <xf numFmtId="3" fontId="5" fillId="0" borderId="25" xfId="0" applyNumberFormat="1" applyFont="1" applyBorder="1"/>
    <xf numFmtId="0" fontId="0" fillId="6" borderId="0" xfId="0" applyFill="1"/>
    <xf numFmtId="14" fontId="5" fillId="0" borderId="22" xfId="0" applyNumberFormat="1" applyFont="1" applyBorder="1"/>
    <xf numFmtId="167" fontId="4" fillId="0" borderId="11" xfId="0" applyNumberFormat="1" applyFont="1" applyBorder="1"/>
    <xf numFmtId="167" fontId="5" fillId="0" borderId="18" xfId="0" applyNumberFormat="1" applyFont="1" applyBorder="1"/>
    <xf numFmtId="167" fontId="5" fillId="0" borderId="32" xfId="0" applyNumberFormat="1" applyFont="1" applyBorder="1"/>
    <xf numFmtId="167" fontId="5" fillId="0" borderId="46" xfId="0" applyNumberFormat="1" applyFont="1" applyBorder="1"/>
    <xf numFmtId="167" fontId="0" fillId="0" borderId="0" xfId="0" applyNumberFormat="1"/>
    <xf numFmtId="167" fontId="5" fillId="6" borderId="18" xfId="0" applyNumberFormat="1" applyFont="1" applyFill="1" applyBorder="1"/>
    <xf numFmtId="0" fontId="10" fillId="0" borderId="19" xfId="0" applyFont="1" applyBorder="1" applyAlignment="1">
      <alignment wrapText="1"/>
    </xf>
    <xf numFmtId="0" fontId="10" fillId="0" borderId="20" xfId="0" applyFont="1" applyBorder="1"/>
    <xf numFmtId="0" fontId="1" fillId="0" borderId="55" xfId="0" applyFont="1" applyBorder="1"/>
    <xf numFmtId="167" fontId="5" fillId="0" borderId="20" xfId="0" applyNumberFormat="1" applyFont="1" applyBorder="1"/>
    <xf numFmtId="167" fontId="5" fillId="0" borderId="30" xfId="0" applyNumberFormat="1" applyFont="1" applyBorder="1"/>
    <xf numFmtId="167" fontId="5" fillId="0" borderId="20" xfId="1" applyNumberFormat="1" applyFont="1" applyBorder="1"/>
    <xf numFmtId="167" fontId="5" fillId="0" borderId="30" xfId="1" applyNumberFormat="1" applyFont="1" applyBorder="1"/>
    <xf numFmtId="167" fontId="5" fillId="0" borderId="47" xfId="0" applyNumberFormat="1" applyFont="1" applyBorder="1"/>
    <xf numFmtId="168" fontId="5" fillId="0" borderId="18" xfId="0" applyNumberFormat="1" applyFont="1" applyBorder="1"/>
    <xf numFmtId="44" fontId="0" fillId="0" borderId="0" xfId="0" applyNumberFormat="1"/>
    <xf numFmtId="14" fontId="5" fillId="0" borderId="34" xfId="0" applyNumberFormat="1" applyFont="1" applyBorder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3" fillId="0" borderId="38" xfId="0" applyFont="1" applyBorder="1"/>
    <xf numFmtId="0" fontId="3" fillId="0" borderId="39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8" borderId="55" xfId="0" applyNumberFormat="1" applyFont="1" applyFill="1" applyBorder="1"/>
    <xf numFmtId="14" fontId="5" fillId="8" borderId="0" xfId="0" applyNumberFormat="1" applyFont="1" applyFill="1"/>
  </cellXfs>
  <cellStyles count="2">
    <cellStyle name="Normal" xfId="0" builtinId="0"/>
    <cellStyle name="ParaBirimi" xfId="1" builtinId="4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P1000"/>
  <sheetViews>
    <sheetView topLeftCell="A6" zoomScale="56" zoomScaleNormal="59" workbookViewId="0">
      <pane xSplit="1" topLeftCell="S1" activePane="topRight" state="frozen"/>
      <selection pane="topRight" activeCell="W34" sqref="W34"/>
    </sheetView>
  </sheetViews>
  <sheetFormatPr defaultColWidth="14.44140625" defaultRowHeight="15" customHeight="1" x14ac:dyDescent="0.3"/>
  <cols>
    <col min="1" max="1" width="29.6640625" customWidth="1"/>
    <col min="2" max="5" width="8.6640625" customWidth="1"/>
    <col min="6" max="6" width="10.77734375" bestFit="1" customWidth="1"/>
    <col min="7" max="7" width="16" customWidth="1"/>
    <col min="8" max="8" width="12.6640625" customWidth="1"/>
    <col min="9" max="9" width="12" customWidth="1"/>
    <col min="10" max="10" width="14.33203125" customWidth="1"/>
    <col min="11" max="11" width="12" customWidth="1"/>
    <col min="12" max="12" width="17.44140625" customWidth="1"/>
    <col min="13" max="13" width="14" bestFit="1" customWidth="1"/>
    <col min="14" max="14" width="13.109375" bestFit="1" customWidth="1"/>
    <col min="15" max="15" width="13.33203125" customWidth="1"/>
    <col min="16" max="16" width="11.6640625" customWidth="1"/>
    <col min="17" max="17" width="14.33203125" customWidth="1"/>
    <col min="18" max="18" width="11.6640625" customWidth="1"/>
    <col min="19" max="19" width="10.44140625" bestFit="1" customWidth="1"/>
    <col min="20" max="20" width="12.109375" customWidth="1"/>
    <col min="21" max="21" width="14.5546875" style="131" bestFit="1" customWidth="1"/>
    <col min="22" max="22" width="13.44140625" bestFit="1" customWidth="1"/>
    <col min="23" max="23" width="11.6640625" customWidth="1"/>
    <col min="24" max="24" width="14.33203125" customWidth="1"/>
    <col min="25" max="25" width="11.6640625" customWidth="1"/>
    <col min="26" max="26" width="11.44140625" bestFit="1" customWidth="1"/>
    <col min="27" max="29" width="8.6640625" customWidth="1"/>
    <col min="30" max="30" width="11.6640625" customWidth="1"/>
    <col min="31" max="31" width="14.33203125" customWidth="1"/>
    <col min="32" max="32" width="11.6640625" customWidth="1"/>
    <col min="33" max="33" width="8.6640625" customWidth="1"/>
    <col min="34" max="34" width="4.109375" customWidth="1"/>
    <col min="35" max="36" width="2.88671875" customWidth="1"/>
    <col min="37" max="37" width="3.109375" customWidth="1"/>
    <col min="38" max="38" width="31.44140625" customWidth="1"/>
    <col min="39" max="39" width="20.5546875" customWidth="1"/>
    <col min="40" max="40" width="13" customWidth="1"/>
    <col min="41" max="41" width="8.6640625" customWidth="1"/>
    <col min="42" max="42" width="16.6640625" bestFit="1" customWidth="1"/>
  </cols>
  <sheetData>
    <row r="1" spans="1:35" ht="28.8" x14ac:dyDescent="0.55000000000000004">
      <c r="A1" s="147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"/>
      <c r="AE1" s="1"/>
      <c r="AF1" s="1"/>
      <c r="AG1" s="2"/>
    </row>
    <row r="2" spans="1:35" ht="14.25" customHeight="1" x14ac:dyDescent="0.3">
      <c r="A2" s="3" t="s">
        <v>1</v>
      </c>
      <c r="B2" s="144" t="s">
        <v>2</v>
      </c>
      <c r="C2" s="145"/>
      <c r="D2" s="145"/>
      <c r="E2" s="149"/>
      <c r="F2" s="150" t="s">
        <v>3</v>
      </c>
      <c r="G2" s="145"/>
      <c r="H2" s="145"/>
      <c r="I2" s="145"/>
      <c r="J2" s="145"/>
      <c r="K2" s="145"/>
      <c r="L2" s="146"/>
      <c r="M2" s="151" t="s">
        <v>4</v>
      </c>
      <c r="N2" s="145"/>
      <c r="O2" s="145"/>
      <c r="P2" s="145"/>
      <c r="Q2" s="145"/>
      <c r="R2" s="145"/>
      <c r="S2" s="145"/>
      <c r="T2" s="144" t="s">
        <v>5</v>
      </c>
      <c r="U2" s="145"/>
      <c r="V2" s="145"/>
      <c r="W2" s="145"/>
      <c r="X2" s="145"/>
      <c r="Y2" s="145"/>
      <c r="Z2" s="145"/>
      <c r="AA2" s="144" t="s">
        <v>6</v>
      </c>
      <c r="AB2" s="145"/>
      <c r="AC2" s="145"/>
      <c r="AD2" s="145"/>
      <c r="AE2" s="145"/>
      <c r="AF2" s="145"/>
      <c r="AG2" s="146"/>
    </row>
    <row r="3" spans="1:35" ht="14.25" customHeight="1" x14ac:dyDescent="0.3">
      <c r="A3" s="4"/>
      <c r="B3" s="5" t="s">
        <v>7</v>
      </c>
      <c r="C3" s="6" t="s">
        <v>8</v>
      </c>
      <c r="D3" s="6" t="s">
        <v>9</v>
      </c>
      <c r="E3" s="7"/>
      <c r="F3" s="5" t="s">
        <v>7</v>
      </c>
      <c r="G3" s="6" t="s">
        <v>8</v>
      </c>
      <c r="H3" s="6" t="s">
        <v>9</v>
      </c>
      <c r="I3" s="8" t="s">
        <v>10</v>
      </c>
      <c r="J3" s="6" t="s">
        <v>11</v>
      </c>
      <c r="K3" s="8" t="s">
        <v>10</v>
      </c>
      <c r="L3" s="7" t="s">
        <v>12</v>
      </c>
      <c r="M3" s="5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8" t="s">
        <v>10</v>
      </c>
      <c r="S3" s="7" t="s">
        <v>12</v>
      </c>
      <c r="T3" s="9" t="s">
        <v>7</v>
      </c>
      <c r="U3" s="127" t="s">
        <v>8</v>
      </c>
      <c r="V3" s="6" t="s">
        <v>9</v>
      </c>
      <c r="W3" s="6" t="s">
        <v>10</v>
      </c>
      <c r="X3" s="6" t="s">
        <v>11</v>
      </c>
      <c r="Y3" s="8" t="s">
        <v>10</v>
      </c>
      <c r="Z3" s="7" t="s">
        <v>12</v>
      </c>
      <c r="AA3" s="5" t="s">
        <v>7</v>
      </c>
      <c r="AB3" s="6" t="s">
        <v>8</v>
      </c>
      <c r="AC3" s="10" t="s">
        <v>9</v>
      </c>
      <c r="AD3" s="6" t="s">
        <v>10</v>
      </c>
      <c r="AE3" s="6" t="s">
        <v>11</v>
      </c>
      <c r="AF3" s="8" t="s">
        <v>10</v>
      </c>
      <c r="AG3" s="7" t="s">
        <v>12</v>
      </c>
    </row>
    <row r="4" spans="1:35" ht="14.25" customHeight="1" x14ac:dyDescent="0.3">
      <c r="A4" s="11" t="s">
        <v>13</v>
      </c>
      <c r="B4" s="12"/>
      <c r="C4" s="13"/>
      <c r="D4" s="13"/>
      <c r="E4" s="14"/>
      <c r="F4" s="12"/>
      <c r="G4" s="15"/>
      <c r="H4" s="16">
        <f t="shared" ref="H4:H8" si="0">400000-G4-J4</f>
        <v>400000</v>
      </c>
      <c r="I4" s="17"/>
      <c r="J4" s="17"/>
      <c r="K4" s="17"/>
      <c r="L4" s="14" t="s">
        <v>14</v>
      </c>
      <c r="M4" s="12"/>
      <c r="N4" s="16"/>
      <c r="O4" s="16">
        <f t="shared" ref="O4:O21" si="1">300000-N4</f>
        <v>300000</v>
      </c>
      <c r="P4" s="16"/>
      <c r="Q4" s="18"/>
      <c r="R4" s="18"/>
      <c r="S4" s="19"/>
      <c r="T4" s="20"/>
      <c r="U4" s="128"/>
      <c r="V4" s="141">
        <f t="shared" ref="V4:V21" si="2">300000-U4-X4</f>
        <v>300000</v>
      </c>
      <c r="W4" s="21"/>
      <c r="X4" s="136"/>
      <c r="Y4" s="21"/>
      <c r="Z4" s="14"/>
      <c r="AA4" s="12"/>
      <c r="AB4" s="13"/>
      <c r="AC4" s="19"/>
      <c r="AD4" s="19"/>
      <c r="AE4" s="19"/>
      <c r="AF4" s="19"/>
      <c r="AG4" s="22"/>
    </row>
    <row r="5" spans="1:35" ht="115.2" x14ac:dyDescent="0.3">
      <c r="A5" s="11" t="s">
        <v>15</v>
      </c>
      <c r="B5" s="12"/>
      <c r="C5" s="13"/>
      <c r="D5" s="13"/>
      <c r="E5" s="14"/>
      <c r="F5" s="12"/>
      <c r="G5" s="23">
        <v>400000</v>
      </c>
      <c r="H5" s="16">
        <f t="shared" si="0"/>
        <v>0</v>
      </c>
      <c r="I5" s="17" t="s">
        <v>16</v>
      </c>
      <c r="J5" s="17"/>
      <c r="K5" s="17"/>
      <c r="L5" s="14" t="s">
        <v>17</v>
      </c>
      <c r="M5" s="24">
        <v>46136</v>
      </c>
      <c r="N5" s="16">
        <v>300000</v>
      </c>
      <c r="O5" s="16">
        <f t="shared" si="1"/>
        <v>0</v>
      </c>
      <c r="P5" s="16" t="s">
        <v>16</v>
      </c>
      <c r="Q5" s="18"/>
      <c r="R5" s="18"/>
      <c r="S5" s="29" t="s">
        <v>246</v>
      </c>
      <c r="T5" s="20"/>
      <c r="U5" s="128"/>
      <c r="V5" s="141">
        <f t="shared" si="2"/>
        <v>300000</v>
      </c>
      <c r="W5" s="21"/>
      <c r="X5" s="136"/>
      <c r="Y5" s="21"/>
      <c r="Z5" s="14"/>
      <c r="AA5" s="12"/>
      <c r="AB5" s="13"/>
      <c r="AC5" s="19"/>
      <c r="AD5" s="19"/>
      <c r="AE5" s="19"/>
      <c r="AF5" s="19"/>
      <c r="AG5" s="22"/>
    </row>
    <row r="6" spans="1:35" ht="14.25" customHeight="1" x14ac:dyDescent="0.3">
      <c r="A6" s="11" t="s">
        <v>243</v>
      </c>
      <c r="B6" s="12"/>
      <c r="C6" s="13"/>
      <c r="D6" s="13"/>
      <c r="E6" s="14"/>
      <c r="F6" s="12"/>
      <c r="G6" s="23">
        <v>400000</v>
      </c>
      <c r="H6" s="16">
        <f t="shared" si="0"/>
        <v>0</v>
      </c>
      <c r="I6" s="17" t="s">
        <v>16</v>
      </c>
      <c r="J6" s="17"/>
      <c r="K6" s="17"/>
      <c r="L6" s="14" t="s">
        <v>18</v>
      </c>
      <c r="M6" s="24" t="s">
        <v>226</v>
      </c>
      <c r="N6" s="16">
        <v>300000</v>
      </c>
      <c r="O6" s="16">
        <f t="shared" si="1"/>
        <v>0</v>
      </c>
      <c r="P6" s="16" t="s">
        <v>16</v>
      </c>
      <c r="Q6" s="18"/>
      <c r="R6" s="18"/>
      <c r="S6" s="19" t="s">
        <v>19</v>
      </c>
      <c r="T6" s="20"/>
      <c r="U6" s="128"/>
      <c r="V6" s="141">
        <f t="shared" si="2"/>
        <v>300000</v>
      </c>
      <c r="W6" s="21"/>
      <c r="X6" s="136"/>
      <c r="Y6" s="21"/>
      <c r="Z6" s="14"/>
      <c r="AA6" s="12"/>
      <c r="AB6" s="13"/>
      <c r="AC6" s="19"/>
      <c r="AD6" s="19"/>
      <c r="AE6" s="19"/>
      <c r="AF6" s="19"/>
      <c r="AG6" s="22"/>
    </row>
    <row r="7" spans="1:35" ht="54.75" customHeight="1" x14ac:dyDescent="0.3">
      <c r="A7" s="11" t="s">
        <v>242</v>
      </c>
      <c r="B7" s="12"/>
      <c r="C7" s="13"/>
      <c r="D7" s="13"/>
      <c r="E7" s="14"/>
      <c r="F7" s="12" t="s">
        <v>287</v>
      </c>
      <c r="G7" s="23">
        <v>200000</v>
      </c>
      <c r="H7" s="16">
        <f t="shared" si="0"/>
        <v>0</v>
      </c>
      <c r="I7" s="17" t="s">
        <v>20</v>
      </c>
      <c r="J7" s="25">
        <v>200000</v>
      </c>
      <c r="K7" s="17" t="s">
        <v>16</v>
      </c>
      <c r="L7" s="26" t="s">
        <v>21</v>
      </c>
      <c r="M7" s="24">
        <v>46129</v>
      </c>
      <c r="N7" s="115">
        <v>300000</v>
      </c>
      <c r="O7" s="16">
        <f t="shared" si="1"/>
        <v>0</v>
      </c>
      <c r="P7" s="16" t="s">
        <v>20</v>
      </c>
      <c r="Q7" s="18"/>
      <c r="R7" s="18"/>
      <c r="S7" s="19" t="s">
        <v>26</v>
      </c>
      <c r="T7" s="20"/>
      <c r="U7" s="128"/>
      <c r="V7" s="141">
        <f t="shared" si="2"/>
        <v>300000</v>
      </c>
      <c r="W7" s="21"/>
      <c r="X7" s="136"/>
      <c r="Y7" s="21"/>
      <c r="Z7" s="14"/>
      <c r="AA7" s="12"/>
      <c r="AB7" s="13"/>
      <c r="AC7" s="19"/>
      <c r="AD7" s="19"/>
      <c r="AE7" s="19"/>
      <c r="AF7" s="19"/>
      <c r="AG7" s="22"/>
      <c r="AI7" s="27" t="s">
        <v>22</v>
      </c>
    </row>
    <row r="8" spans="1:35" ht="14.25" customHeight="1" x14ac:dyDescent="0.3">
      <c r="A8" s="11" t="s">
        <v>23</v>
      </c>
      <c r="B8" s="12"/>
      <c r="C8" s="13"/>
      <c r="D8" s="13"/>
      <c r="E8" s="14"/>
      <c r="F8" s="12"/>
      <c r="G8" s="23">
        <v>400000</v>
      </c>
      <c r="H8" s="16">
        <f t="shared" si="0"/>
        <v>0</v>
      </c>
      <c r="I8" s="17" t="s">
        <v>16</v>
      </c>
      <c r="J8" s="17"/>
      <c r="K8" s="17"/>
      <c r="L8" s="14" t="s">
        <v>24</v>
      </c>
      <c r="M8" s="24">
        <v>46113</v>
      </c>
      <c r="N8" s="115">
        <v>300000</v>
      </c>
      <c r="O8" s="16">
        <f t="shared" si="1"/>
        <v>0</v>
      </c>
      <c r="P8" s="16" t="s">
        <v>20</v>
      </c>
      <c r="Q8" s="18"/>
      <c r="R8" s="18"/>
      <c r="S8" s="19" t="s">
        <v>26</v>
      </c>
      <c r="T8" s="20"/>
      <c r="U8" s="128"/>
      <c r="V8" s="141">
        <f t="shared" si="2"/>
        <v>300000</v>
      </c>
      <c r="W8" s="21"/>
      <c r="X8" s="136"/>
      <c r="Y8" s="21"/>
      <c r="Z8" s="14"/>
      <c r="AA8" s="12"/>
      <c r="AB8" s="13"/>
      <c r="AC8" s="19"/>
      <c r="AD8" s="19"/>
      <c r="AE8" s="19"/>
      <c r="AF8" s="19"/>
      <c r="AG8" s="22"/>
    </row>
    <row r="9" spans="1:35" ht="14.25" customHeight="1" x14ac:dyDescent="0.3">
      <c r="A9" s="11" t="s">
        <v>25</v>
      </c>
      <c r="B9" s="12"/>
      <c r="C9" s="13"/>
      <c r="D9" s="13"/>
      <c r="E9" s="14"/>
      <c r="F9" s="12"/>
      <c r="G9" s="28"/>
      <c r="H9" s="16">
        <v>0</v>
      </c>
      <c r="I9" s="17"/>
      <c r="J9" s="17"/>
      <c r="K9" s="17"/>
      <c r="L9" s="14" t="s">
        <v>14</v>
      </c>
      <c r="M9" s="24">
        <v>46113</v>
      </c>
      <c r="N9" s="115">
        <v>300000</v>
      </c>
      <c r="O9" s="16">
        <f t="shared" si="1"/>
        <v>0</v>
      </c>
      <c r="P9" s="16" t="s">
        <v>20</v>
      </c>
      <c r="Q9" s="18"/>
      <c r="R9" s="18"/>
      <c r="S9" s="19" t="s">
        <v>26</v>
      </c>
      <c r="T9" s="126">
        <v>46230</v>
      </c>
      <c r="U9" s="128">
        <v>300000</v>
      </c>
      <c r="V9" s="141">
        <f t="shared" si="2"/>
        <v>0</v>
      </c>
      <c r="W9" s="21" t="s">
        <v>20</v>
      </c>
      <c r="X9" s="136"/>
      <c r="Y9" s="21"/>
      <c r="Z9" s="14"/>
      <c r="AA9" s="12"/>
      <c r="AB9" s="13"/>
      <c r="AC9" s="19"/>
      <c r="AD9" s="19"/>
      <c r="AE9" s="19"/>
      <c r="AF9" s="19"/>
      <c r="AG9" s="22"/>
    </row>
    <row r="10" spans="1:35" ht="14.25" customHeight="1" x14ac:dyDescent="0.3">
      <c r="A10" s="11" t="s">
        <v>27</v>
      </c>
      <c r="B10" s="12"/>
      <c r="C10" s="13"/>
      <c r="D10" s="13"/>
      <c r="E10" s="14"/>
      <c r="F10" s="12" t="s">
        <v>287</v>
      </c>
      <c r="G10" s="23">
        <v>400000</v>
      </c>
      <c r="H10" s="16">
        <f>400000-G10-J10</f>
        <v>0</v>
      </c>
      <c r="I10" s="17" t="s">
        <v>20</v>
      </c>
      <c r="J10" s="17"/>
      <c r="K10" s="17"/>
      <c r="L10" s="14" t="s">
        <v>28</v>
      </c>
      <c r="M10" s="24">
        <v>46125</v>
      </c>
      <c r="N10" s="16">
        <v>300000</v>
      </c>
      <c r="O10" s="16">
        <f t="shared" si="1"/>
        <v>0</v>
      </c>
      <c r="P10" s="16" t="s">
        <v>16</v>
      </c>
      <c r="Q10" s="18"/>
      <c r="R10" s="18"/>
      <c r="S10" s="19" t="s">
        <v>19</v>
      </c>
      <c r="T10" s="126">
        <v>46223</v>
      </c>
      <c r="U10" s="128">
        <v>300000</v>
      </c>
      <c r="V10" s="141">
        <f t="shared" si="2"/>
        <v>0</v>
      </c>
      <c r="W10" s="21" t="s">
        <v>16</v>
      </c>
      <c r="X10" s="136"/>
      <c r="Y10" s="21"/>
      <c r="Z10" s="14"/>
      <c r="AA10" s="12"/>
      <c r="AB10" s="13"/>
      <c r="AC10" s="19"/>
      <c r="AD10" s="19"/>
      <c r="AE10" s="19"/>
      <c r="AF10" s="19"/>
      <c r="AG10" s="22"/>
    </row>
    <row r="11" spans="1:35" ht="14.25" customHeight="1" x14ac:dyDescent="0.3">
      <c r="A11" s="11" t="s">
        <v>29</v>
      </c>
      <c r="B11" s="12"/>
      <c r="C11" s="13"/>
      <c r="D11" s="13"/>
      <c r="E11" s="14"/>
      <c r="F11" s="12"/>
      <c r="G11" s="28"/>
      <c r="H11" s="16">
        <v>0</v>
      </c>
      <c r="I11" s="17"/>
      <c r="J11" s="17"/>
      <c r="K11" s="17"/>
      <c r="L11" s="14" t="s">
        <v>14</v>
      </c>
      <c r="M11" s="24" t="s">
        <v>231</v>
      </c>
      <c r="N11" s="16">
        <v>300000</v>
      </c>
      <c r="O11" s="16">
        <f t="shared" si="1"/>
        <v>0</v>
      </c>
      <c r="P11" s="16" t="s">
        <v>16</v>
      </c>
      <c r="Q11" s="18"/>
      <c r="R11" s="18"/>
      <c r="S11" s="29" t="s">
        <v>30</v>
      </c>
      <c r="T11" s="20"/>
      <c r="U11" s="128"/>
      <c r="V11" s="141">
        <f t="shared" si="2"/>
        <v>300000</v>
      </c>
      <c r="W11" s="21"/>
      <c r="X11" s="136"/>
      <c r="Y11" s="21"/>
      <c r="Z11" s="14"/>
      <c r="AA11" s="12"/>
      <c r="AB11" s="13"/>
      <c r="AC11" s="19"/>
      <c r="AD11" s="19"/>
      <c r="AE11" s="19"/>
      <c r="AF11" s="19"/>
      <c r="AG11" s="22"/>
    </row>
    <row r="12" spans="1:35" ht="43.2" x14ac:dyDescent="0.3">
      <c r="A12" s="11" t="s">
        <v>31</v>
      </c>
      <c r="B12" s="12"/>
      <c r="C12" s="13"/>
      <c r="D12" s="13"/>
      <c r="E12" s="14"/>
      <c r="F12" s="12" t="s">
        <v>287</v>
      </c>
      <c r="G12" s="23">
        <v>400000</v>
      </c>
      <c r="H12" s="16">
        <f t="shared" ref="H12:H14" si="3">400000-G12-J12</f>
        <v>0</v>
      </c>
      <c r="I12" s="17" t="s">
        <v>20</v>
      </c>
      <c r="J12" s="17"/>
      <c r="K12" s="17"/>
      <c r="L12" s="14" t="s">
        <v>28</v>
      </c>
      <c r="M12" s="24">
        <v>46129</v>
      </c>
      <c r="N12" s="115">
        <v>50000</v>
      </c>
      <c r="O12" s="16">
        <f>300000-N12-Q12</f>
        <v>0</v>
      </c>
      <c r="P12" s="16" t="s">
        <v>20</v>
      </c>
      <c r="Q12" s="18">
        <v>250000</v>
      </c>
      <c r="R12" s="18" t="s">
        <v>16</v>
      </c>
      <c r="S12" s="29" t="s">
        <v>224</v>
      </c>
      <c r="T12" s="126">
        <v>46223</v>
      </c>
      <c r="U12" s="128">
        <v>300000</v>
      </c>
      <c r="V12" s="141">
        <f t="shared" si="2"/>
        <v>0</v>
      </c>
      <c r="W12" s="21" t="s">
        <v>20</v>
      </c>
      <c r="X12" s="136"/>
      <c r="Y12" s="21"/>
      <c r="Z12" s="14"/>
      <c r="AA12" s="12"/>
      <c r="AB12" s="13"/>
      <c r="AC12" s="19"/>
      <c r="AD12" s="19"/>
      <c r="AE12" s="19"/>
      <c r="AF12" s="19"/>
      <c r="AG12" s="22"/>
    </row>
    <row r="13" spans="1:35" ht="66" customHeight="1" x14ac:dyDescent="0.3">
      <c r="A13" s="11" t="s">
        <v>32</v>
      </c>
      <c r="B13" s="12"/>
      <c r="C13" s="13"/>
      <c r="D13" s="13"/>
      <c r="E13" s="14"/>
      <c r="F13" s="12" t="s">
        <v>287</v>
      </c>
      <c r="G13" s="23">
        <v>285000</v>
      </c>
      <c r="H13" s="16">
        <f t="shared" si="3"/>
        <v>0</v>
      </c>
      <c r="I13" s="17" t="s">
        <v>20</v>
      </c>
      <c r="J13" s="25">
        <v>115000</v>
      </c>
      <c r="K13" s="17" t="s">
        <v>16</v>
      </c>
      <c r="L13" s="30" t="s">
        <v>33</v>
      </c>
      <c r="M13" s="24">
        <v>46127</v>
      </c>
      <c r="N13" s="115">
        <v>300000</v>
      </c>
      <c r="O13" s="16">
        <f t="shared" si="1"/>
        <v>0</v>
      </c>
      <c r="P13" s="16" t="s">
        <v>20</v>
      </c>
      <c r="Q13" s="18"/>
      <c r="R13" s="18"/>
      <c r="S13" s="19" t="s">
        <v>26</v>
      </c>
      <c r="T13" s="126">
        <v>46220</v>
      </c>
      <c r="U13" s="128">
        <v>250000</v>
      </c>
      <c r="V13" s="141">
        <f>300000-U13-X13</f>
        <v>0</v>
      </c>
      <c r="W13" s="21" t="s">
        <v>16</v>
      </c>
      <c r="X13" s="136">
        <v>50000</v>
      </c>
      <c r="Y13" s="21" t="s">
        <v>20</v>
      </c>
      <c r="Z13" s="133" t="s">
        <v>312</v>
      </c>
      <c r="AA13" s="12"/>
      <c r="AB13" s="13"/>
      <c r="AC13" s="19"/>
      <c r="AD13" s="19"/>
      <c r="AE13" s="19"/>
      <c r="AF13" s="19"/>
      <c r="AG13" s="22"/>
    </row>
    <row r="14" spans="1:35" ht="14.25" customHeight="1" x14ac:dyDescent="0.3">
      <c r="A14" s="31" t="s">
        <v>34</v>
      </c>
      <c r="B14" s="12"/>
      <c r="C14" s="13"/>
      <c r="D14" s="13"/>
      <c r="E14" s="14"/>
      <c r="F14" s="12" t="s">
        <v>287</v>
      </c>
      <c r="G14" s="23">
        <v>400000</v>
      </c>
      <c r="H14" s="16">
        <f t="shared" si="3"/>
        <v>0</v>
      </c>
      <c r="I14" s="17" t="s">
        <v>20</v>
      </c>
      <c r="J14" s="17"/>
      <c r="K14" s="17"/>
      <c r="L14" s="14" t="s">
        <v>28</v>
      </c>
      <c r="M14" s="24" t="s">
        <v>240</v>
      </c>
      <c r="N14" s="115">
        <v>300000</v>
      </c>
      <c r="O14" s="16">
        <f t="shared" si="1"/>
        <v>0</v>
      </c>
      <c r="P14" s="16" t="s">
        <v>20</v>
      </c>
      <c r="Q14" s="18"/>
      <c r="R14" s="18"/>
      <c r="S14" s="19" t="s">
        <v>26</v>
      </c>
      <c r="T14" s="20"/>
      <c r="U14" s="128"/>
      <c r="V14" s="141">
        <f t="shared" si="2"/>
        <v>300000</v>
      </c>
      <c r="W14" s="21"/>
      <c r="X14" s="136"/>
      <c r="Y14" s="21"/>
      <c r="Z14" s="14"/>
      <c r="AA14" s="12"/>
      <c r="AB14" s="13"/>
      <c r="AC14" s="19"/>
      <c r="AD14" s="19"/>
      <c r="AE14" s="19"/>
      <c r="AF14" s="19"/>
      <c r="AG14" s="22"/>
    </row>
    <row r="15" spans="1:35" ht="14.25" customHeight="1" x14ac:dyDescent="0.3">
      <c r="A15" s="11" t="s">
        <v>35</v>
      </c>
      <c r="B15" s="12"/>
      <c r="C15" s="13"/>
      <c r="D15" s="13"/>
      <c r="E15" s="14">
        <v>550</v>
      </c>
      <c r="F15" s="12">
        <v>300</v>
      </c>
      <c r="G15" s="32">
        <v>850000</v>
      </c>
      <c r="H15" s="16">
        <f>850000-G15-J15</f>
        <v>0</v>
      </c>
      <c r="I15" s="17" t="s">
        <v>20</v>
      </c>
      <c r="J15" s="17"/>
      <c r="K15" s="17"/>
      <c r="L15" s="14" t="s">
        <v>26</v>
      </c>
      <c r="M15" s="24">
        <v>46122</v>
      </c>
      <c r="N15" s="115">
        <v>300000</v>
      </c>
      <c r="O15" s="16">
        <f t="shared" si="1"/>
        <v>0</v>
      </c>
      <c r="P15" s="16" t="s">
        <v>20</v>
      </c>
      <c r="Q15" s="18"/>
      <c r="R15" s="18"/>
      <c r="S15" s="19" t="s">
        <v>26</v>
      </c>
      <c r="T15" s="126">
        <v>46227</v>
      </c>
      <c r="U15" s="128">
        <v>300000</v>
      </c>
      <c r="V15" s="141">
        <f t="shared" si="2"/>
        <v>0</v>
      </c>
      <c r="W15" s="21" t="s">
        <v>20</v>
      </c>
      <c r="X15" s="136"/>
      <c r="Y15" s="21"/>
      <c r="Z15" s="14"/>
      <c r="AA15" s="12"/>
      <c r="AB15" s="13"/>
      <c r="AC15" s="19"/>
      <c r="AD15" s="19"/>
      <c r="AE15" s="19"/>
      <c r="AF15" s="19"/>
      <c r="AG15" s="22"/>
    </row>
    <row r="16" spans="1:35" ht="14.25" customHeight="1" x14ac:dyDescent="0.3">
      <c r="A16" s="11" t="s">
        <v>36</v>
      </c>
      <c r="B16" s="12"/>
      <c r="C16" s="13"/>
      <c r="D16" s="13"/>
      <c r="E16" s="14"/>
      <c r="F16" s="12" t="s">
        <v>287</v>
      </c>
      <c r="G16" s="23">
        <v>400000</v>
      </c>
      <c r="H16" s="16">
        <f>400000-G16-J16</f>
        <v>0</v>
      </c>
      <c r="I16" s="17" t="s">
        <v>20</v>
      </c>
      <c r="J16" s="17"/>
      <c r="K16" s="17"/>
      <c r="L16" s="14" t="s">
        <v>26</v>
      </c>
      <c r="M16" s="33">
        <v>46118</v>
      </c>
      <c r="N16" s="115">
        <v>300000</v>
      </c>
      <c r="O16" s="16">
        <f t="shared" si="1"/>
        <v>0</v>
      </c>
      <c r="P16" s="16" t="s">
        <v>20</v>
      </c>
      <c r="Q16" s="18"/>
      <c r="R16" s="18"/>
      <c r="S16" s="19" t="s">
        <v>26</v>
      </c>
      <c r="T16" s="20"/>
      <c r="U16" s="128"/>
      <c r="V16" s="141">
        <f t="shared" si="2"/>
        <v>300000</v>
      </c>
      <c r="W16" s="21"/>
      <c r="X16" s="136"/>
      <c r="Y16" s="21"/>
      <c r="Z16" s="14"/>
      <c r="AA16" s="12"/>
      <c r="AB16" s="13"/>
      <c r="AC16" s="19"/>
      <c r="AD16" s="19"/>
      <c r="AE16" s="19"/>
      <c r="AF16" s="19"/>
      <c r="AG16" s="22"/>
    </row>
    <row r="17" spans="1:42" ht="14.25" customHeight="1" x14ac:dyDescent="0.3">
      <c r="A17" s="11" t="s">
        <v>37</v>
      </c>
      <c r="B17" s="12"/>
      <c r="C17" s="13"/>
      <c r="D17" s="13"/>
      <c r="E17" s="14">
        <v>400</v>
      </c>
      <c r="F17" s="12">
        <v>250</v>
      </c>
      <c r="G17" s="23">
        <v>650000</v>
      </c>
      <c r="H17" s="16">
        <v>0</v>
      </c>
      <c r="I17" s="17" t="s">
        <v>20</v>
      </c>
      <c r="J17" s="25">
        <v>200000</v>
      </c>
      <c r="K17" s="17" t="s">
        <v>16</v>
      </c>
      <c r="L17" s="26" t="s">
        <v>38</v>
      </c>
      <c r="M17" s="24">
        <v>46127</v>
      </c>
      <c r="N17" s="115">
        <v>300000</v>
      </c>
      <c r="O17" s="16">
        <f t="shared" si="1"/>
        <v>0</v>
      </c>
      <c r="P17" s="16" t="s">
        <v>20</v>
      </c>
      <c r="Q17" s="18"/>
      <c r="R17" s="18"/>
      <c r="S17" s="19" t="s">
        <v>26</v>
      </c>
      <c r="T17" s="20"/>
      <c r="U17" s="128"/>
      <c r="V17" s="141">
        <f t="shared" si="2"/>
        <v>300000</v>
      </c>
      <c r="W17" s="21"/>
      <c r="X17" s="136"/>
      <c r="Y17" s="21"/>
      <c r="Z17" s="14"/>
      <c r="AA17" s="12"/>
      <c r="AB17" s="13"/>
      <c r="AC17" s="19"/>
      <c r="AD17" s="19"/>
      <c r="AE17" s="19"/>
      <c r="AF17" s="19"/>
      <c r="AG17" s="22"/>
    </row>
    <row r="18" spans="1:42" ht="43.2" x14ac:dyDescent="0.3">
      <c r="A18" s="11" t="s">
        <v>39</v>
      </c>
      <c r="B18" s="12"/>
      <c r="C18" s="13"/>
      <c r="D18" s="13"/>
      <c r="E18" s="14"/>
      <c r="F18" s="12" t="s">
        <v>287</v>
      </c>
      <c r="G18" s="23">
        <v>400000</v>
      </c>
      <c r="H18" s="16">
        <f>400000-G18-J18</f>
        <v>0</v>
      </c>
      <c r="I18" s="17" t="s">
        <v>20</v>
      </c>
      <c r="J18" s="17"/>
      <c r="K18" s="17"/>
      <c r="L18" s="14" t="s">
        <v>28</v>
      </c>
      <c r="M18" s="24" t="s">
        <v>219</v>
      </c>
      <c r="N18" s="115">
        <v>100000</v>
      </c>
      <c r="O18" s="16">
        <f>300000-N18-Q18</f>
        <v>0</v>
      </c>
      <c r="P18" s="16" t="s">
        <v>20</v>
      </c>
      <c r="Q18" s="18">
        <v>200000</v>
      </c>
      <c r="R18" s="18" t="s">
        <v>16</v>
      </c>
      <c r="S18" s="29" t="s">
        <v>220</v>
      </c>
      <c r="T18" s="20"/>
      <c r="U18" s="128"/>
      <c r="V18" s="141">
        <f t="shared" si="2"/>
        <v>300000</v>
      </c>
      <c r="W18" s="21"/>
      <c r="X18" s="136"/>
      <c r="Y18" s="21"/>
      <c r="Z18" s="14"/>
      <c r="AA18" s="12"/>
      <c r="AB18" s="13"/>
      <c r="AC18" s="19"/>
      <c r="AD18" s="19"/>
      <c r="AE18" s="19"/>
      <c r="AF18" s="19"/>
      <c r="AG18" s="22"/>
    </row>
    <row r="19" spans="1:42" ht="14.25" customHeight="1" x14ac:dyDescent="0.35">
      <c r="A19" s="11" t="s">
        <v>40</v>
      </c>
      <c r="B19" s="12"/>
      <c r="C19" s="13"/>
      <c r="D19" s="13"/>
      <c r="E19" s="14"/>
      <c r="F19" s="12" t="s">
        <v>287</v>
      </c>
      <c r="G19" s="32">
        <v>250000</v>
      </c>
      <c r="H19" s="16">
        <v>0</v>
      </c>
      <c r="I19" s="17" t="s">
        <v>20</v>
      </c>
      <c r="J19" s="17"/>
      <c r="K19" s="17"/>
      <c r="L19" s="26" t="s">
        <v>41</v>
      </c>
      <c r="M19" s="24">
        <v>46113</v>
      </c>
      <c r="N19" s="16">
        <v>300000</v>
      </c>
      <c r="O19" s="16">
        <f t="shared" si="1"/>
        <v>0</v>
      </c>
      <c r="P19" s="16" t="s">
        <v>16</v>
      </c>
      <c r="Q19" s="18"/>
      <c r="R19" s="18"/>
      <c r="S19" s="19" t="s">
        <v>19</v>
      </c>
      <c r="T19" s="126">
        <v>46226</v>
      </c>
      <c r="U19" s="128">
        <v>300000</v>
      </c>
      <c r="V19" s="141">
        <f t="shared" si="2"/>
        <v>0</v>
      </c>
      <c r="W19" s="21" t="s">
        <v>20</v>
      </c>
      <c r="X19" s="136"/>
      <c r="Y19" s="21"/>
      <c r="Z19" s="14"/>
      <c r="AA19" s="12"/>
      <c r="AB19" s="13"/>
      <c r="AC19" s="19"/>
      <c r="AD19" s="19"/>
      <c r="AE19" s="19"/>
      <c r="AF19" s="19"/>
      <c r="AG19" s="22"/>
      <c r="AL19" s="34" t="s">
        <v>42</v>
      </c>
      <c r="AM19" s="35">
        <f>'GİDER ARALIK 2025 VE ÖNCESİ(2)'!L33+'GİDERLER OCAK 2026'!L29+'GİDERLER ŞUBAT 2026'!L30+'GİDERLER MART 2026'!L29+'GİDERLER NİSAN 2026'!L30+'GİDERLER MAYIS 2026'!L32+'GİDERLER HAZİRAN 2026'!L31+'GİDERLER TEMMUZ 2026'!L26</f>
        <v>45596518</v>
      </c>
      <c r="AO19" t="s">
        <v>210</v>
      </c>
      <c r="AP19" s="36">
        <f>AM19+AM20</f>
        <v>56006690</v>
      </c>
    </row>
    <row r="20" spans="1:42" ht="14.25" customHeight="1" x14ac:dyDescent="0.35">
      <c r="A20" s="11" t="s">
        <v>43</v>
      </c>
      <c r="B20" s="12"/>
      <c r="C20" s="13"/>
      <c r="D20" s="13"/>
      <c r="E20" s="14"/>
      <c r="F20" s="12"/>
      <c r="G20" s="28"/>
      <c r="H20" s="16">
        <v>0</v>
      </c>
      <c r="I20" s="17"/>
      <c r="J20" s="17"/>
      <c r="K20" s="17"/>
      <c r="L20" s="14" t="s">
        <v>44</v>
      </c>
      <c r="M20" s="24">
        <v>46139</v>
      </c>
      <c r="N20" s="115">
        <v>300000</v>
      </c>
      <c r="O20" s="16">
        <f t="shared" si="1"/>
        <v>0</v>
      </c>
      <c r="P20" s="16" t="s">
        <v>20</v>
      </c>
      <c r="Q20" s="18"/>
      <c r="R20" s="18"/>
      <c r="S20" s="19" t="s">
        <v>26</v>
      </c>
      <c r="T20" s="20"/>
      <c r="U20" s="128"/>
      <c r="V20" s="141">
        <f t="shared" si="2"/>
        <v>300000</v>
      </c>
      <c r="W20" s="21"/>
      <c r="X20" s="136"/>
      <c r="Y20" s="21"/>
      <c r="Z20" s="14"/>
      <c r="AA20" s="12"/>
      <c r="AB20" s="13"/>
      <c r="AC20" s="19"/>
      <c r="AD20" s="19"/>
      <c r="AE20" s="19"/>
      <c r="AF20" s="19"/>
      <c r="AG20" s="22"/>
      <c r="AL20" s="34" t="s">
        <v>45</v>
      </c>
      <c r="AM20" s="37">
        <f>'GİDER ARALIK 2025 VE ÖNCESİ(2)'!M33+'GİDERLER OCAK 2026'!M29+'GİDERLER ŞUBAT 2026'!M30+'GİDERLER MART 2026'!M29+'GİDERLER NİSAN 2026'!M30+'GİDERLER MAYIS 2026'!M32+'GİDERLER HAZİRAN 2026'!M31+'GİDERLER TEMMUZ 2026'!M26</f>
        <v>10410172</v>
      </c>
      <c r="AO20" t="s">
        <v>209</v>
      </c>
      <c r="AP20" s="36">
        <f>AM21+AM22</f>
        <v>56930000</v>
      </c>
    </row>
    <row r="21" spans="1:42" ht="14.25" customHeight="1" x14ac:dyDescent="0.35">
      <c r="A21" s="38" t="s">
        <v>46</v>
      </c>
      <c r="B21" s="39"/>
      <c r="C21" s="40"/>
      <c r="D21" s="40"/>
      <c r="E21" s="41"/>
      <c r="F21" s="39" t="s">
        <v>287</v>
      </c>
      <c r="G21" s="23">
        <v>400000</v>
      </c>
      <c r="H21" s="16">
        <f>400000-G21-J21</f>
        <v>0</v>
      </c>
      <c r="I21" s="42" t="s">
        <v>20</v>
      </c>
      <c r="J21" s="42"/>
      <c r="K21" s="42"/>
      <c r="L21" s="14" t="s">
        <v>28</v>
      </c>
      <c r="M21" s="90">
        <v>46120</v>
      </c>
      <c r="N21" s="44">
        <v>300000</v>
      </c>
      <c r="O21" s="16">
        <f t="shared" si="1"/>
        <v>0</v>
      </c>
      <c r="P21" s="44" t="s">
        <v>16</v>
      </c>
      <c r="Q21" s="45"/>
      <c r="R21" s="45"/>
      <c r="S21" s="46" t="s">
        <v>19</v>
      </c>
      <c r="T21" s="47"/>
      <c r="U21" s="129"/>
      <c r="V21" s="141">
        <f t="shared" si="2"/>
        <v>300000</v>
      </c>
      <c r="W21" s="49"/>
      <c r="X21" s="137"/>
      <c r="Y21" s="49"/>
      <c r="Z21" s="50"/>
      <c r="AA21" s="43"/>
      <c r="AB21" s="48"/>
      <c r="AC21" s="46"/>
      <c r="AD21" s="46"/>
      <c r="AE21" s="46"/>
      <c r="AF21" s="46"/>
      <c r="AG21" s="51"/>
      <c r="AL21" s="34" t="s">
        <v>47</v>
      </c>
      <c r="AM21" s="35">
        <f>AM29</f>
        <v>46520000</v>
      </c>
      <c r="AN21" s="36"/>
    </row>
    <row r="22" spans="1:42" ht="14.25" customHeight="1" x14ac:dyDescent="0.35">
      <c r="A22" s="52" t="s">
        <v>1</v>
      </c>
      <c r="B22" s="152" t="s">
        <v>2</v>
      </c>
      <c r="C22" s="153"/>
      <c r="D22" s="153"/>
      <c r="E22" s="154"/>
      <c r="F22" s="152" t="s">
        <v>3</v>
      </c>
      <c r="G22" s="153"/>
      <c r="H22" s="153"/>
      <c r="I22" s="153"/>
      <c r="J22" s="153"/>
      <c r="K22" s="153"/>
      <c r="L22" s="154"/>
      <c r="M22" s="144" t="s">
        <v>4</v>
      </c>
      <c r="N22" s="145"/>
      <c r="O22" s="145"/>
      <c r="P22" s="145"/>
      <c r="Q22" s="145"/>
      <c r="R22" s="145"/>
      <c r="S22" s="146"/>
      <c r="T22" s="144" t="s">
        <v>5</v>
      </c>
      <c r="U22" s="145"/>
      <c r="V22" s="145"/>
      <c r="W22" s="145"/>
      <c r="X22" s="145"/>
      <c r="Y22" s="145"/>
      <c r="Z22" s="146"/>
      <c r="AA22" s="144" t="s">
        <v>6</v>
      </c>
      <c r="AB22" s="145"/>
      <c r="AC22" s="145"/>
      <c r="AD22" s="145"/>
      <c r="AE22" s="145"/>
      <c r="AF22" s="145"/>
      <c r="AG22" s="146"/>
      <c r="AL22" s="34" t="s">
        <v>48</v>
      </c>
      <c r="AM22" s="35">
        <f>SUMIF(I4:I21,"D",G4:G21)+SUMIF(I24:I41,"D",G24:G41)+SUMIF(I44:I61,"D",G44:G61)+SUMIF(P4:P21,"D",N4:N21)+SUMIF(P24:P41,"D",N24:N41)+SUMIF(P44:P61,"D",N44:N61)+SUMIF(K4:K21,"D",J4:J21)+SUMIF(K24:K41,"D",J24:J41)+SUMIF(K44:K61,"D",J44:J61)+SUMIF(R4:R21,"D",Q4:Q21)+SUMIF(R24:R41,"D",Q24:Q41)+SUMIF(R44:R61,"D",Q44:Q61)+SUMIF(W4:W21,"D",U4:U21)+SUMIF(W24:W41,"D",U24:U41)+SUMIF(W44:W61,"D",U44:U61)+SUMIF(Y4:Y21,"D",X4:X21)+SUMIF(Y24:Y41,"D",X24:X41)+SUMIF(Y44:Y61,"D",X44:X61)+SUMIF(AD4:AD21,"D",AB4:AB21)+SUMIF(AD24:AD41,"D",AB24:AB41)+SUMIF(AD44:AD61,"D",AB44:AB61)+SUMIF(AF4:AF21,"D",AE4:AE21)+SUMIF(AF24:AF41,"D",AE24:AE41)+SUMIF(AF44:AF61,"D",AE44:AE61)</f>
        <v>10410000</v>
      </c>
    </row>
    <row r="23" spans="1:42" ht="14.25" customHeight="1" x14ac:dyDescent="0.35">
      <c r="A23" s="11"/>
      <c r="B23" s="5" t="s">
        <v>7</v>
      </c>
      <c r="C23" s="6" t="s">
        <v>8</v>
      </c>
      <c r="D23" s="53" t="s">
        <v>9</v>
      </c>
      <c r="E23" s="8"/>
      <c r="F23" s="54" t="s">
        <v>7</v>
      </c>
      <c r="G23" s="6" t="s">
        <v>8</v>
      </c>
      <c r="H23" s="53" t="s">
        <v>9</v>
      </c>
      <c r="I23" s="8" t="s">
        <v>10</v>
      </c>
      <c r="J23" s="55" t="s">
        <v>11</v>
      </c>
      <c r="K23" s="56" t="s">
        <v>10</v>
      </c>
      <c r="L23" s="57" t="s">
        <v>12</v>
      </c>
      <c r="M23" s="54" t="s">
        <v>7</v>
      </c>
      <c r="N23" s="6" t="s">
        <v>8</v>
      </c>
      <c r="O23" s="53" t="s">
        <v>9</v>
      </c>
      <c r="P23" s="55" t="s">
        <v>10</v>
      </c>
      <c r="Q23" s="55" t="s">
        <v>11</v>
      </c>
      <c r="R23" s="56" t="s">
        <v>10</v>
      </c>
      <c r="S23" s="57" t="s">
        <v>12</v>
      </c>
      <c r="T23" s="9" t="s">
        <v>7</v>
      </c>
      <c r="U23" s="127" t="s">
        <v>8</v>
      </c>
      <c r="V23" s="6" t="s">
        <v>9</v>
      </c>
      <c r="W23" s="6" t="s">
        <v>10</v>
      </c>
      <c r="X23" s="6" t="s">
        <v>11</v>
      </c>
      <c r="Y23" s="8" t="s">
        <v>10</v>
      </c>
      <c r="Z23" s="7" t="s">
        <v>12</v>
      </c>
      <c r="AA23" s="5" t="s">
        <v>7</v>
      </c>
      <c r="AB23" s="6" t="s">
        <v>8</v>
      </c>
      <c r="AC23" s="10" t="s">
        <v>9</v>
      </c>
      <c r="AD23" s="6" t="s">
        <v>10</v>
      </c>
      <c r="AE23" s="6" t="s">
        <v>11</v>
      </c>
      <c r="AF23" s="8" t="s">
        <v>10</v>
      </c>
      <c r="AG23" s="7" t="s">
        <v>12</v>
      </c>
      <c r="AL23" s="34"/>
      <c r="AM23" s="35"/>
      <c r="AP23" s="36">
        <f>AP20-AP19</f>
        <v>923310</v>
      </c>
    </row>
    <row r="24" spans="1:42" ht="14.25" customHeight="1" x14ac:dyDescent="0.35">
      <c r="A24" s="11" t="s">
        <v>49</v>
      </c>
      <c r="B24" s="12"/>
      <c r="C24" s="13"/>
      <c r="D24" s="13"/>
      <c r="E24" s="21"/>
      <c r="F24" s="58"/>
      <c r="G24" s="23">
        <v>400000</v>
      </c>
      <c r="H24" s="16">
        <f t="shared" ref="H24:H27" si="4">400000-G24-J24</f>
        <v>0</v>
      </c>
      <c r="I24" s="17" t="s">
        <v>16</v>
      </c>
      <c r="J24" s="17"/>
      <c r="K24" s="17"/>
      <c r="L24" s="21" t="s">
        <v>50</v>
      </c>
      <c r="M24" s="33">
        <v>46128</v>
      </c>
      <c r="N24" s="16">
        <v>300000</v>
      </c>
      <c r="O24" s="16">
        <f t="shared" ref="O24:O41" si="5">300000-N24</f>
        <v>0</v>
      </c>
      <c r="P24" s="17" t="s">
        <v>16</v>
      </c>
      <c r="Q24" s="17"/>
      <c r="R24" s="17"/>
      <c r="S24" s="21" t="s">
        <v>223</v>
      </c>
      <c r="T24" s="20"/>
      <c r="U24" s="128"/>
      <c r="V24" s="141">
        <f t="shared" ref="V24:V41" si="6">300000-U24-X24</f>
        <v>300000</v>
      </c>
      <c r="W24" s="21"/>
      <c r="X24" s="138"/>
      <c r="Y24" s="21"/>
      <c r="Z24" s="14"/>
      <c r="AA24" s="12"/>
      <c r="AB24" s="13"/>
      <c r="AC24" s="19"/>
      <c r="AD24" s="19"/>
      <c r="AE24" s="19"/>
      <c r="AF24" s="19"/>
      <c r="AG24" s="22"/>
      <c r="AL24" s="34"/>
      <c r="AM24" s="34"/>
    </row>
    <row r="25" spans="1:42" ht="18" x14ac:dyDescent="0.35">
      <c r="A25" s="11" t="s">
        <v>51</v>
      </c>
      <c r="B25" s="12"/>
      <c r="C25" s="13"/>
      <c r="D25" s="13"/>
      <c r="E25" s="21"/>
      <c r="F25" s="58"/>
      <c r="G25" s="15"/>
      <c r="H25" s="16">
        <f t="shared" si="4"/>
        <v>400000</v>
      </c>
      <c r="I25" s="17"/>
      <c r="J25" s="17"/>
      <c r="K25" s="17"/>
      <c r="L25" s="21" t="s">
        <v>14</v>
      </c>
      <c r="M25" s="58"/>
      <c r="N25" s="16"/>
      <c r="O25" s="16">
        <f t="shared" si="5"/>
        <v>300000</v>
      </c>
      <c r="P25" s="17"/>
      <c r="Q25" s="17"/>
      <c r="R25" s="17"/>
      <c r="S25" s="21"/>
      <c r="T25" s="20"/>
      <c r="U25" s="128"/>
      <c r="V25" s="141">
        <f t="shared" si="6"/>
        <v>300000</v>
      </c>
      <c r="W25" s="21"/>
      <c r="X25" s="138"/>
      <c r="Y25" s="21"/>
      <c r="Z25" s="14"/>
      <c r="AA25" s="12"/>
      <c r="AB25" s="13"/>
      <c r="AC25" s="19"/>
      <c r="AD25" s="19"/>
      <c r="AE25" s="19"/>
      <c r="AF25" s="19"/>
      <c r="AG25" s="22"/>
      <c r="AL25" s="122" t="s">
        <v>52</v>
      </c>
      <c r="AM25" s="123">
        <f>AM21-AM19</f>
        <v>923482</v>
      </c>
    </row>
    <row r="26" spans="1:42" ht="14.25" customHeight="1" x14ac:dyDescent="0.3">
      <c r="A26" s="11" t="s">
        <v>241</v>
      </c>
      <c r="B26" s="12"/>
      <c r="C26" s="13"/>
      <c r="D26" s="13"/>
      <c r="E26" s="21"/>
      <c r="F26" s="58" t="s">
        <v>287</v>
      </c>
      <c r="G26" s="23">
        <v>400000</v>
      </c>
      <c r="H26" s="16">
        <f t="shared" si="4"/>
        <v>0</v>
      </c>
      <c r="I26" s="17" t="s">
        <v>20</v>
      </c>
      <c r="J26" s="17"/>
      <c r="K26" s="17"/>
      <c r="L26" s="21" t="s">
        <v>26</v>
      </c>
      <c r="M26" s="33">
        <v>46136</v>
      </c>
      <c r="N26" s="115">
        <v>300000</v>
      </c>
      <c r="O26" s="16">
        <f t="shared" si="5"/>
        <v>0</v>
      </c>
      <c r="P26" s="17" t="s">
        <v>20</v>
      </c>
      <c r="Q26" s="17"/>
      <c r="R26" s="17"/>
      <c r="S26" s="21" t="s">
        <v>26</v>
      </c>
      <c r="T26" s="20"/>
      <c r="U26" s="128"/>
      <c r="V26" s="141">
        <f t="shared" si="6"/>
        <v>300000</v>
      </c>
      <c r="W26" s="21"/>
      <c r="X26" s="138"/>
      <c r="Y26" s="21"/>
      <c r="Z26" s="14"/>
      <c r="AA26" s="12"/>
      <c r="AB26" s="13"/>
      <c r="AC26" s="19"/>
      <c r="AD26" s="19"/>
      <c r="AE26" s="19"/>
      <c r="AF26" s="19"/>
      <c r="AG26" s="22"/>
    </row>
    <row r="27" spans="1:42" ht="43.8" x14ac:dyDescent="0.35">
      <c r="A27" s="11" t="s">
        <v>53</v>
      </c>
      <c r="B27" s="12"/>
      <c r="C27" s="13"/>
      <c r="D27" s="13"/>
      <c r="E27" s="21">
        <v>200</v>
      </c>
      <c r="F27" s="58">
        <v>200</v>
      </c>
      <c r="G27" s="23">
        <v>400000</v>
      </c>
      <c r="H27" s="16">
        <f t="shared" si="4"/>
        <v>0</v>
      </c>
      <c r="I27" s="17" t="s">
        <v>20</v>
      </c>
      <c r="J27" s="17"/>
      <c r="K27" s="17"/>
      <c r="L27" s="21"/>
      <c r="M27" s="33" t="s">
        <v>237</v>
      </c>
      <c r="N27" s="115">
        <v>150000</v>
      </c>
      <c r="O27" s="16">
        <f>300000-N27-Q27</f>
        <v>0</v>
      </c>
      <c r="P27" s="17" t="s">
        <v>20</v>
      </c>
      <c r="Q27" s="17">
        <v>150000</v>
      </c>
      <c r="R27" s="17" t="s">
        <v>16</v>
      </c>
      <c r="S27" s="59" t="s">
        <v>236</v>
      </c>
      <c r="T27" s="20"/>
      <c r="U27" s="128"/>
      <c r="V27" s="141">
        <f t="shared" si="6"/>
        <v>300000</v>
      </c>
      <c r="W27" s="21"/>
      <c r="X27" s="138"/>
      <c r="Y27" s="21"/>
      <c r="Z27" s="14"/>
      <c r="AA27" s="12"/>
      <c r="AB27" s="13"/>
      <c r="AC27" s="19"/>
      <c r="AD27" s="19"/>
      <c r="AE27" s="19"/>
      <c r="AF27" s="19"/>
      <c r="AG27" s="22"/>
      <c r="AL27" t="s">
        <v>284</v>
      </c>
      <c r="AM27" s="112">
        <f>SUMIF(I4:I21,"N",G4:G21)+SUMIF(I24:I41,"N",G24:G41)+SUMIF(I44:I61,"N",G44:G61)+SUMIF(P4:P21,"N",N4:N21)+SUMIF(P24:P41,"N",N24:N41)+SUMIF(P44:P61,"N",N44:N61)+SUMIF(K4:K21,"N",J4:J21)+SUMIF(K24:K41,"N",J24:J41)+SUMIF(K44:K61,"N",J44:J61)+SUMIF(R4:R21,"N",Q4:Q21)+SUMIF(R24:R41,"N",Q24:Q41)+SUMIF(R44:R61,"N",Q44:Q61)+SUMIF(W4:W21,"N",U4:U21)+SUMIF(W24:W41,"N",U24:U41)+SUMIF(W44:W61,"N",U44:U61)+SUMIF(Y4:Y21,"N",X4:X21)+SUMIF(Y24:Y41,"N",X24:X41)+SUMIF(Y44:Y61,"N",X44:X61)+SUMIF(AD4:AD21,"N",AB4:AB21)+SUMIF(AD24:AD41,"N",AB24:AB41)+SUMIF(AD44:AD61,"N",AB44:AB61)+SUMIF(AF4:AF21,"N",AE4:AE21)+SUMIF(AF24:AF41,"N",AE24:AE41)+SUMIF(AF44:AF61,"N",AE44:AE61)</f>
        <v>26720000</v>
      </c>
    </row>
    <row r="28" spans="1:42" ht="14.25" customHeight="1" x14ac:dyDescent="0.3">
      <c r="A28" s="11" t="s">
        <v>54</v>
      </c>
      <c r="B28" s="12"/>
      <c r="C28" s="13"/>
      <c r="D28" s="13"/>
      <c r="E28" s="21">
        <v>400</v>
      </c>
      <c r="F28" s="58">
        <v>450</v>
      </c>
      <c r="G28" s="23">
        <v>850000</v>
      </c>
      <c r="H28" s="16">
        <v>0</v>
      </c>
      <c r="I28" s="17" t="s">
        <v>20</v>
      </c>
      <c r="J28" s="17"/>
      <c r="K28" s="17"/>
      <c r="L28" s="21"/>
      <c r="M28" s="33">
        <v>46122</v>
      </c>
      <c r="N28" s="115">
        <v>300000</v>
      </c>
      <c r="O28" s="16">
        <f t="shared" si="5"/>
        <v>0</v>
      </c>
      <c r="P28" s="17" t="s">
        <v>20</v>
      </c>
      <c r="Q28" s="17"/>
      <c r="R28" s="17"/>
      <c r="S28" s="21" t="s">
        <v>26</v>
      </c>
      <c r="T28" s="20"/>
      <c r="U28" s="128"/>
      <c r="V28" s="141">
        <f t="shared" si="6"/>
        <v>300000</v>
      </c>
      <c r="W28" s="21"/>
      <c r="X28" s="138"/>
      <c r="Y28" s="21"/>
      <c r="Z28" s="14"/>
      <c r="AA28" s="12"/>
      <c r="AB28" s="13"/>
      <c r="AC28" s="19"/>
      <c r="AD28" s="19"/>
      <c r="AE28" s="19"/>
      <c r="AF28" s="19"/>
      <c r="AG28" s="22"/>
      <c r="AL28" t="s">
        <v>285</v>
      </c>
      <c r="AM28">
        <v>19800000</v>
      </c>
    </row>
    <row r="29" spans="1:42" ht="14.25" customHeight="1" x14ac:dyDescent="0.3">
      <c r="A29" s="11" t="s">
        <v>55</v>
      </c>
      <c r="B29" s="12"/>
      <c r="C29" s="13"/>
      <c r="D29" s="13"/>
      <c r="E29" s="21"/>
      <c r="F29" s="58" t="s">
        <v>287</v>
      </c>
      <c r="G29" s="23">
        <v>265000</v>
      </c>
      <c r="H29" s="16">
        <f t="shared" ref="H29:H32" si="7">400000-G29-J29</f>
        <v>0</v>
      </c>
      <c r="I29" s="17" t="s">
        <v>20</v>
      </c>
      <c r="J29" s="25">
        <v>135000</v>
      </c>
      <c r="K29" s="17" t="s">
        <v>16</v>
      </c>
      <c r="L29" s="59" t="s">
        <v>56</v>
      </c>
      <c r="M29" s="124">
        <v>100702026</v>
      </c>
      <c r="N29" s="16">
        <v>110000</v>
      </c>
      <c r="O29" s="16">
        <f t="shared" si="5"/>
        <v>190000</v>
      </c>
      <c r="P29" s="17" t="s">
        <v>16</v>
      </c>
      <c r="Q29" s="17"/>
      <c r="R29" s="17"/>
      <c r="S29" s="21" t="s">
        <v>302</v>
      </c>
      <c r="T29" s="20"/>
      <c r="U29" s="128"/>
      <c r="V29" s="141">
        <f t="shared" si="6"/>
        <v>300000</v>
      </c>
      <c r="W29" s="21"/>
      <c r="X29" s="138"/>
      <c r="Y29" s="21"/>
      <c r="Z29" s="14"/>
      <c r="AA29" s="12"/>
      <c r="AB29" s="13"/>
      <c r="AC29" s="19"/>
      <c r="AD29" s="19"/>
      <c r="AE29" s="19"/>
      <c r="AF29" s="19"/>
      <c r="AG29" s="22"/>
      <c r="AL29" t="s">
        <v>286</v>
      </c>
      <c r="AM29" s="113">
        <f>AM27+AM28</f>
        <v>46520000</v>
      </c>
    </row>
    <row r="30" spans="1:42" ht="14.25" customHeight="1" x14ac:dyDescent="0.3">
      <c r="A30" s="11" t="s">
        <v>57</v>
      </c>
      <c r="B30" s="12"/>
      <c r="C30" s="13"/>
      <c r="D30" s="13"/>
      <c r="E30" s="21">
        <v>300</v>
      </c>
      <c r="F30" s="58">
        <v>100</v>
      </c>
      <c r="G30" s="23">
        <v>400000</v>
      </c>
      <c r="H30" s="16">
        <f t="shared" si="7"/>
        <v>0</v>
      </c>
      <c r="I30" s="17" t="s">
        <v>20</v>
      </c>
      <c r="J30" s="17"/>
      <c r="K30" s="17"/>
      <c r="L30" s="21"/>
      <c r="M30" s="33">
        <v>46113</v>
      </c>
      <c r="N30" s="115">
        <v>300000</v>
      </c>
      <c r="O30" s="16">
        <f t="shared" si="5"/>
        <v>0</v>
      </c>
      <c r="P30" s="17" t="s">
        <v>20</v>
      </c>
      <c r="Q30" s="17"/>
      <c r="R30" s="17"/>
      <c r="S30" s="21" t="s">
        <v>26</v>
      </c>
      <c r="T30" s="126">
        <v>46227</v>
      </c>
      <c r="U30" s="128">
        <v>300000</v>
      </c>
      <c r="V30" s="141">
        <f t="shared" si="6"/>
        <v>0</v>
      </c>
      <c r="W30" s="21" t="s">
        <v>20</v>
      </c>
      <c r="X30" s="138"/>
      <c r="Y30" s="21"/>
      <c r="Z30" s="14"/>
      <c r="AA30" s="12"/>
      <c r="AB30" s="13"/>
      <c r="AC30" s="19"/>
      <c r="AD30" s="19"/>
      <c r="AE30" s="19"/>
      <c r="AF30" s="19"/>
      <c r="AG30" s="22"/>
    </row>
    <row r="31" spans="1:42" ht="14.25" customHeight="1" x14ac:dyDescent="0.3">
      <c r="A31" s="11" t="s">
        <v>58</v>
      </c>
      <c r="B31" s="12"/>
      <c r="C31" s="13"/>
      <c r="D31" s="13"/>
      <c r="E31" s="21"/>
      <c r="F31" s="58"/>
      <c r="G31" s="23">
        <v>400000</v>
      </c>
      <c r="H31" s="16">
        <f t="shared" si="7"/>
        <v>0</v>
      </c>
      <c r="I31" s="17" t="s">
        <v>16</v>
      </c>
      <c r="J31" s="17"/>
      <c r="K31" s="17"/>
      <c r="L31" s="21" t="s">
        <v>59</v>
      </c>
      <c r="M31" s="33">
        <v>46118</v>
      </c>
      <c r="N31" s="16">
        <v>300000</v>
      </c>
      <c r="O31" s="16">
        <f t="shared" si="5"/>
        <v>0</v>
      </c>
      <c r="P31" s="17" t="s">
        <v>16</v>
      </c>
      <c r="Q31" s="17"/>
      <c r="R31" s="17"/>
      <c r="S31" s="59" t="s">
        <v>30</v>
      </c>
      <c r="T31" s="20"/>
      <c r="U31" s="128"/>
      <c r="V31" s="141">
        <f t="shared" si="6"/>
        <v>300000</v>
      </c>
      <c r="W31" s="21"/>
      <c r="X31" s="138"/>
      <c r="Y31" s="21"/>
      <c r="Z31" s="14"/>
      <c r="AA31" s="12"/>
      <c r="AB31" s="13"/>
      <c r="AC31" s="19"/>
      <c r="AD31" s="19"/>
      <c r="AE31" s="19"/>
      <c r="AF31" s="19"/>
      <c r="AG31" s="22"/>
    </row>
    <row r="32" spans="1:42" ht="14.25" customHeight="1" x14ac:dyDescent="0.3">
      <c r="A32" s="11" t="s">
        <v>60</v>
      </c>
      <c r="B32" s="12"/>
      <c r="C32" s="13"/>
      <c r="D32" s="13"/>
      <c r="E32" s="21"/>
      <c r="F32" s="58" t="s">
        <v>287</v>
      </c>
      <c r="G32" s="23">
        <v>400000</v>
      </c>
      <c r="H32" s="16">
        <f t="shared" si="7"/>
        <v>0</v>
      </c>
      <c r="I32" s="17" t="s">
        <v>20</v>
      </c>
      <c r="J32" s="17"/>
      <c r="K32" s="17"/>
      <c r="L32" s="21"/>
      <c r="M32" s="33" t="s">
        <v>225</v>
      </c>
      <c r="N32" s="115">
        <v>300000</v>
      </c>
      <c r="O32" s="16">
        <f t="shared" si="5"/>
        <v>0</v>
      </c>
      <c r="P32" s="17" t="s">
        <v>20</v>
      </c>
      <c r="Q32" s="17"/>
      <c r="R32" s="17"/>
      <c r="S32" s="21" t="s">
        <v>26</v>
      </c>
      <c r="T32" s="126">
        <v>46227</v>
      </c>
      <c r="U32" s="128">
        <v>150000</v>
      </c>
      <c r="V32" s="141">
        <f t="shared" si="6"/>
        <v>150000</v>
      </c>
      <c r="W32" s="21" t="s">
        <v>16</v>
      </c>
      <c r="X32" s="138"/>
      <c r="Y32" s="21"/>
      <c r="Z32" s="14" t="s">
        <v>320</v>
      </c>
      <c r="AA32" s="12"/>
      <c r="AB32" s="13"/>
      <c r="AC32" s="19"/>
      <c r="AD32" s="19"/>
      <c r="AE32" s="19"/>
      <c r="AF32" s="19"/>
      <c r="AG32" s="22"/>
    </row>
    <row r="33" spans="1:39" ht="14.25" customHeight="1" x14ac:dyDescent="0.3">
      <c r="A33" s="11" t="s">
        <v>61</v>
      </c>
      <c r="B33" s="12"/>
      <c r="C33" s="13"/>
      <c r="D33" s="13"/>
      <c r="E33" s="21">
        <v>450</v>
      </c>
      <c r="F33" s="58"/>
      <c r="G33" s="119">
        <v>450000</v>
      </c>
      <c r="H33" s="16">
        <v>0</v>
      </c>
      <c r="I33" s="17" t="s">
        <v>20</v>
      </c>
      <c r="J33" s="17"/>
      <c r="K33" s="17"/>
      <c r="L33" s="21"/>
      <c r="M33" s="33">
        <v>46113</v>
      </c>
      <c r="N33" s="115">
        <v>300000</v>
      </c>
      <c r="O33" s="16">
        <f t="shared" si="5"/>
        <v>0</v>
      </c>
      <c r="P33" s="17" t="s">
        <v>20</v>
      </c>
      <c r="Q33" s="17"/>
      <c r="R33" s="17"/>
      <c r="S33" s="21" t="s">
        <v>26</v>
      </c>
      <c r="T33" s="126">
        <v>46230</v>
      </c>
      <c r="U33" s="128">
        <v>230000</v>
      </c>
      <c r="V33" s="141">
        <f t="shared" si="6"/>
        <v>70000</v>
      </c>
      <c r="W33" s="21" t="s">
        <v>20</v>
      </c>
      <c r="X33" s="138"/>
      <c r="Y33" s="21"/>
      <c r="Z33" s="14"/>
      <c r="AA33" s="12"/>
      <c r="AB33" s="13"/>
      <c r="AC33" s="19"/>
      <c r="AD33" s="19"/>
      <c r="AE33" s="19"/>
      <c r="AF33" s="19"/>
      <c r="AG33" s="22"/>
    </row>
    <row r="34" spans="1:39" ht="43.2" x14ac:dyDescent="0.3">
      <c r="A34" s="11" t="s">
        <v>62</v>
      </c>
      <c r="B34" s="12"/>
      <c r="C34" s="13"/>
      <c r="D34" s="13"/>
      <c r="E34" s="21"/>
      <c r="F34" s="58"/>
      <c r="G34" s="23">
        <v>166000</v>
      </c>
      <c r="H34" s="16">
        <f>400000-G34-J34</f>
        <v>0</v>
      </c>
      <c r="I34" s="17" t="s">
        <v>16</v>
      </c>
      <c r="J34" s="17">
        <v>234000</v>
      </c>
      <c r="K34" s="17" t="s">
        <v>16</v>
      </c>
      <c r="L34" s="21" t="s">
        <v>63</v>
      </c>
      <c r="M34" s="33" t="s">
        <v>233</v>
      </c>
      <c r="N34" s="16">
        <v>250000</v>
      </c>
      <c r="O34" s="16">
        <f>300000-N34-Q34</f>
        <v>0</v>
      </c>
      <c r="P34" s="17" t="s">
        <v>16</v>
      </c>
      <c r="Q34" s="118">
        <v>50000</v>
      </c>
      <c r="R34" s="17" t="s">
        <v>20</v>
      </c>
      <c r="S34" s="59" t="s">
        <v>256</v>
      </c>
      <c r="T34" s="20"/>
      <c r="U34" s="128"/>
      <c r="V34" s="141">
        <f t="shared" si="6"/>
        <v>300000</v>
      </c>
      <c r="W34" s="21"/>
      <c r="X34" s="138"/>
      <c r="Y34" s="21"/>
      <c r="Z34" s="14"/>
      <c r="AA34" s="12"/>
      <c r="AB34" s="13"/>
      <c r="AC34" s="19"/>
      <c r="AD34" s="19"/>
      <c r="AE34" s="19"/>
      <c r="AF34" s="19"/>
      <c r="AG34" s="22"/>
      <c r="AM34" s="113"/>
    </row>
    <row r="35" spans="1:39" ht="14.25" customHeight="1" x14ac:dyDescent="0.3">
      <c r="A35" s="11" t="s">
        <v>64</v>
      </c>
      <c r="B35" s="12"/>
      <c r="C35" s="13"/>
      <c r="D35" s="13"/>
      <c r="E35" s="21">
        <v>420</v>
      </c>
      <c r="F35" s="58">
        <v>430</v>
      </c>
      <c r="G35" s="23">
        <v>850000</v>
      </c>
      <c r="H35" s="16">
        <v>0</v>
      </c>
      <c r="I35" s="17" t="s">
        <v>20</v>
      </c>
      <c r="J35" s="17"/>
      <c r="K35" s="17"/>
      <c r="L35" s="21"/>
      <c r="M35" s="33">
        <v>46115</v>
      </c>
      <c r="N35" s="115">
        <v>300000</v>
      </c>
      <c r="O35" s="16">
        <f t="shared" si="5"/>
        <v>0</v>
      </c>
      <c r="P35" s="17" t="s">
        <v>20</v>
      </c>
      <c r="Q35" s="17"/>
      <c r="R35" s="17"/>
      <c r="S35" s="21" t="s">
        <v>26</v>
      </c>
      <c r="T35" s="126">
        <v>46223</v>
      </c>
      <c r="U35" s="128">
        <v>300000</v>
      </c>
      <c r="V35" s="141">
        <f t="shared" si="6"/>
        <v>0</v>
      </c>
      <c r="W35" s="21" t="s">
        <v>20</v>
      </c>
      <c r="X35" s="138"/>
      <c r="Y35" s="21"/>
      <c r="Z35" s="14"/>
      <c r="AA35" s="12"/>
      <c r="AB35" s="13"/>
      <c r="AC35" s="19"/>
      <c r="AD35" s="19"/>
      <c r="AE35" s="19"/>
      <c r="AF35" s="19"/>
      <c r="AG35" s="22"/>
    </row>
    <row r="36" spans="1:39" ht="28.8" x14ac:dyDescent="0.3">
      <c r="A36" s="11" t="s">
        <v>65</v>
      </c>
      <c r="B36" s="12"/>
      <c r="C36" s="13"/>
      <c r="D36" s="13"/>
      <c r="E36" s="21"/>
      <c r="F36" s="58" t="s">
        <v>287</v>
      </c>
      <c r="G36" s="23">
        <v>400000</v>
      </c>
      <c r="H36" s="16">
        <f t="shared" ref="H36:H39" si="8">400000-G36-J36</f>
        <v>0</v>
      </c>
      <c r="I36" s="17" t="s">
        <v>20</v>
      </c>
      <c r="J36" s="17"/>
      <c r="K36" s="17"/>
      <c r="L36" s="21"/>
      <c r="M36" s="33">
        <v>46122</v>
      </c>
      <c r="N36" s="115">
        <v>300000</v>
      </c>
      <c r="O36" s="16">
        <f t="shared" si="5"/>
        <v>0</v>
      </c>
      <c r="P36" s="17" t="s">
        <v>20</v>
      </c>
      <c r="Q36" s="17"/>
      <c r="R36" s="17"/>
      <c r="S36" s="21" t="s">
        <v>26</v>
      </c>
      <c r="T36" s="126">
        <v>46223</v>
      </c>
      <c r="U36" s="128">
        <v>150000</v>
      </c>
      <c r="V36" s="141">
        <f t="shared" si="6"/>
        <v>0</v>
      </c>
      <c r="W36" s="21" t="s">
        <v>16</v>
      </c>
      <c r="X36" s="138">
        <v>150000</v>
      </c>
      <c r="Y36" s="21" t="s">
        <v>20</v>
      </c>
      <c r="Z36" s="26" t="s">
        <v>321</v>
      </c>
      <c r="AA36" s="12"/>
      <c r="AB36" s="13"/>
      <c r="AC36" s="19"/>
      <c r="AD36" s="19"/>
      <c r="AE36" s="19"/>
      <c r="AF36" s="19"/>
      <c r="AG36" s="22"/>
    </row>
    <row r="37" spans="1:39" ht="14.25" customHeight="1" x14ac:dyDescent="0.3">
      <c r="A37" s="11" t="s">
        <v>66</v>
      </c>
      <c r="B37" s="12"/>
      <c r="C37" s="13"/>
      <c r="D37" s="13"/>
      <c r="E37" s="21">
        <v>220</v>
      </c>
      <c r="F37" s="58">
        <v>180</v>
      </c>
      <c r="G37" s="23">
        <v>400000</v>
      </c>
      <c r="H37" s="16">
        <f t="shared" si="8"/>
        <v>0</v>
      </c>
      <c r="I37" s="17" t="s">
        <v>20</v>
      </c>
      <c r="J37" s="17"/>
      <c r="K37" s="17"/>
      <c r="L37" s="21"/>
      <c r="M37" s="33">
        <v>46120</v>
      </c>
      <c r="N37" s="16">
        <v>300000</v>
      </c>
      <c r="O37" s="16">
        <f t="shared" si="5"/>
        <v>0</v>
      </c>
      <c r="P37" s="17" t="s">
        <v>16</v>
      </c>
      <c r="Q37" s="17"/>
      <c r="R37" s="17"/>
      <c r="S37" s="21" t="s">
        <v>208</v>
      </c>
      <c r="T37" s="20"/>
      <c r="U37" s="128"/>
      <c r="V37" s="141">
        <f t="shared" si="6"/>
        <v>300000</v>
      </c>
      <c r="W37" s="21"/>
      <c r="X37" s="138"/>
      <c r="Y37" s="21"/>
      <c r="Z37" s="14"/>
      <c r="AA37" s="12"/>
      <c r="AB37" s="13"/>
      <c r="AC37" s="19"/>
      <c r="AD37" s="19"/>
      <c r="AE37" s="19"/>
      <c r="AF37" s="19"/>
      <c r="AG37" s="22"/>
    </row>
    <row r="38" spans="1:39" ht="72" x14ac:dyDescent="0.3">
      <c r="A38" s="11" t="s">
        <v>67</v>
      </c>
      <c r="B38" s="12"/>
      <c r="C38" s="13"/>
      <c r="D38" s="13"/>
      <c r="E38" s="21"/>
      <c r="F38" s="58"/>
      <c r="G38" s="23">
        <v>400000</v>
      </c>
      <c r="H38" s="16">
        <f t="shared" si="8"/>
        <v>0</v>
      </c>
      <c r="I38" s="17" t="s">
        <v>16</v>
      </c>
      <c r="J38" s="17"/>
      <c r="K38" s="17"/>
      <c r="L38" s="59" t="s">
        <v>68</v>
      </c>
      <c r="M38" s="33" t="s">
        <v>247</v>
      </c>
      <c r="N38" s="115">
        <v>300000</v>
      </c>
      <c r="O38" s="16">
        <f t="shared" si="5"/>
        <v>0</v>
      </c>
      <c r="P38" s="17" t="s">
        <v>20</v>
      </c>
      <c r="Q38" s="17"/>
      <c r="R38" s="17"/>
      <c r="S38" s="21" t="s">
        <v>26</v>
      </c>
      <c r="T38" s="20"/>
      <c r="U38" s="128"/>
      <c r="V38" s="141">
        <f t="shared" si="6"/>
        <v>300000</v>
      </c>
      <c r="W38" s="21"/>
      <c r="X38" s="138"/>
      <c r="Y38" s="21"/>
      <c r="Z38" s="14"/>
      <c r="AA38" s="12"/>
      <c r="AB38" s="13"/>
      <c r="AC38" s="19"/>
      <c r="AD38" s="19"/>
      <c r="AE38" s="19"/>
      <c r="AF38" s="19"/>
      <c r="AG38" s="22"/>
    </row>
    <row r="39" spans="1:39" ht="14.25" customHeight="1" x14ac:dyDescent="0.3">
      <c r="A39" s="11" t="s">
        <v>69</v>
      </c>
      <c r="B39" s="12"/>
      <c r="C39" s="13"/>
      <c r="D39" s="13"/>
      <c r="E39" s="21"/>
      <c r="F39" s="58" t="s">
        <v>287</v>
      </c>
      <c r="G39" s="23">
        <v>400000</v>
      </c>
      <c r="H39" s="16">
        <f t="shared" si="8"/>
        <v>0</v>
      </c>
      <c r="I39" s="17" t="s">
        <v>20</v>
      </c>
      <c r="J39" s="17"/>
      <c r="K39" s="17"/>
      <c r="L39" s="21"/>
      <c r="M39" s="33">
        <v>46127</v>
      </c>
      <c r="N39" s="115">
        <v>300000</v>
      </c>
      <c r="O39" s="16">
        <f t="shared" si="5"/>
        <v>0</v>
      </c>
      <c r="P39" s="17" t="s">
        <v>20</v>
      </c>
      <c r="Q39" s="17"/>
      <c r="R39" s="17"/>
      <c r="S39" s="21" t="s">
        <v>26</v>
      </c>
      <c r="T39" s="20"/>
      <c r="U39" s="128"/>
      <c r="V39" s="141">
        <f t="shared" si="6"/>
        <v>300000</v>
      </c>
      <c r="W39" s="21"/>
      <c r="X39" s="138"/>
      <c r="Y39" s="21"/>
      <c r="Z39" s="14"/>
      <c r="AA39" s="12"/>
      <c r="AB39" s="13"/>
      <c r="AC39" s="19"/>
      <c r="AD39" s="19"/>
      <c r="AE39" s="19"/>
      <c r="AF39" s="19"/>
      <c r="AG39" s="22"/>
    </row>
    <row r="40" spans="1:39" ht="14.25" customHeight="1" x14ac:dyDescent="0.3">
      <c r="A40" s="114" t="s">
        <v>70</v>
      </c>
      <c r="B40" s="12"/>
      <c r="C40" s="13"/>
      <c r="D40" s="13"/>
      <c r="E40" s="21">
        <v>400</v>
      </c>
      <c r="F40" s="58">
        <v>400</v>
      </c>
      <c r="G40" s="23">
        <v>800000</v>
      </c>
      <c r="H40" s="16">
        <v>50000</v>
      </c>
      <c r="I40" s="17" t="s">
        <v>20</v>
      </c>
      <c r="J40" s="17"/>
      <c r="K40" s="17"/>
      <c r="L40" s="21"/>
      <c r="M40" s="33">
        <v>46113</v>
      </c>
      <c r="N40" s="115">
        <v>300000</v>
      </c>
      <c r="O40" s="16">
        <f t="shared" si="5"/>
        <v>0</v>
      </c>
      <c r="P40" s="17" t="s">
        <v>20</v>
      </c>
      <c r="Q40" s="17"/>
      <c r="R40" s="17"/>
      <c r="S40" s="21" t="s">
        <v>26</v>
      </c>
      <c r="T40" s="126">
        <v>46223</v>
      </c>
      <c r="U40" s="128">
        <v>300000</v>
      </c>
      <c r="V40" s="141">
        <f t="shared" si="6"/>
        <v>0</v>
      </c>
      <c r="W40" s="21" t="s">
        <v>20</v>
      </c>
      <c r="X40" s="138"/>
      <c r="Y40" s="21"/>
      <c r="Z40" s="14"/>
      <c r="AA40" s="12"/>
      <c r="AB40" s="13"/>
      <c r="AC40" s="19"/>
      <c r="AD40" s="19"/>
      <c r="AE40" s="19"/>
      <c r="AF40" s="19"/>
      <c r="AG40" s="22"/>
    </row>
    <row r="41" spans="1:39" ht="14.25" customHeight="1" x14ac:dyDescent="0.3">
      <c r="A41" s="11" t="s">
        <v>71</v>
      </c>
      <c r="B41" s="43"/>
      <c r="C41" s="48"/>
      <c r="D41" s="48"/>
      <c r="E41" s="49">
        <v>450</v>
      </c>
      <c r="F41" s="60">
        <v>590</v>
      </c>
      <c r="G41" s="61">
        <v>1040000</v>
      </c>
      <c r="H41" s="44">
        <v>0</v>
      </c>
      <c r="I41" s="42" t="s">
        <v>20</v>
      </c>
      <c r="J41" s="42"/>
      <c r="K41" s="42"/>
      <c r="L41" s="49"/>
      <c r="M41" s="95">
        <v>46129</v>
      </c>
      <c r="N41" s="116">
        <v>300000</v>
      </c>
      <c r="O41" s="16">
        <f t="shared" si="5"/>
        <v>0</v>
      </c>
      <c r="P41" s="42" t="s">
        <v>20</v>
      </c>
      <c r="Q41" s="42"/>
      <c r="R41" s="42"/>
      <c r="S41" s="49" t="s">
        <v>26</v>
      </c>
      <c r="T41" s="143">
        <v>46227</v>
      </c>
      <c r="U41" s="129">
        <v>300000</v>
      </c>
      <c r="V41" s="141">
        <f t="shared" si="6"/>
        <v>0</v>
      </c>
      <c r="W41" s="49" t="s">
        <v>20</v>
      </c>
      <c r="X41" s="139"/>
      <c r="Y41" s="49"/>
      <c r="Z41" s="50"/>
      <c r="AA41" s="43"/>
      <c r="AB41" s="48"/>
      <c r="AC41" s="46"/>
      <c r="AD41" s="46"/>
      <c r="AE41" s="46"/>
      <c r="AF41" s="46"/>
      <c r="AG41" s="51"/>
    </row>
    <row r="42" spans="1:39" ht="14.25" customHeight="1" x14ac:dyDescent="0.3">
      <c r="A42" s="3" t="s">
        <v>1</v>
      </c>
      <c r="B42" s="151" t="s">
        <v>2</v>
      </c>
      <c r="C42" s="145"/>
      <c r="D42" s="145"/>
      <c r="E42" s="149"/>
      <c r="F42" s="150" t="s">
        <v>3</v>
      </c>
      <c r="G42" s="145"/>
      <c r="H42" s="145"/>
      <c r="I42" s="145"/>
      <c r="J42" s="145"/>
      <c r="K42" s="145"/>
      <c r="L42" s="149"/>
      <c r="M42" s="150" t="s">
        <v>4</v>
      </c>
      <c r="N42" s="145"/>
      <c r="O42" s="145"/>
      <c r="P42" s="145"/>
      <c r="Q42" s="145"/>
      <c r="R42" s="145"/>
      <c r="S42" s="145"/>
      <c r="T42" s="144" t="s">
        <v>5</v>
      </c>
      <c r="U42" s="145"/>
      <c r="V42" s="145"/>
      <c r="W42" s="145"/>
      <c r="X42" s="145"/>
      <c r="Y42" s="145"/>
      <c r="Z42" s="145"/>
      <c r="AA42" s="144" t="s">
        <v>6</v>
      </c>
      <c r="AB42" s="145"/>
      <c r="AC42" s="145"/>
      <c r="AD42" s="145"/>
      <c r="AE42" s="145"/>
      <c r="AF42" s="145"/>
      <c r="AG42" s="146"/>
    </row>
    <row r="43" spans="1:39" ht="14.25" customHeight="1" x14ac:dyDescent="0.3">
      <c r="A43" s="11"/>
      <c r="B43" s="5" t="s">
        <v>7</v>
      </c>
      <c r="C43" s="6" t="s">
        <v>8</v>
      </c>
      <c r="D43" s="6" t="s">
        <v>9</v>
      </c>
      <c r="E43" s="8"/>
      <c r="F43" s="54" t="s">
        <v>7</v>
      </c>
      <c r="G43" s="6" t="s">
        <v>8</v>
      </c>
      <c r="H43" s="6" t="s">
        <v>9</v>
      </c>
      <c r="I43" s="8" t="s">
        <v>10</v>
      </c>
      <c r="J43" s="6" t="s">
        <v>8</v>
      </c>
      <c r="K43" s="8" t="s">
        <v>10</v>
      </c>
      <c r="L43" s="7" t="s">
        <v>12</v>
      </c>
      <c r="M43" s="54" t="s">
        <v>7</v>
      </c>
      <c r="N43" s="6" t="s">
        <v>8</v>
      </c>
      <c r="O43" s="6" t="s">
        <v>9</v>
      </c>
      <c r="P43" s="6" t="s">
        <v>10</v>
      </c>
      <c r="Q43" s="6" t="s">
        <v>11</v>
      </c>
      <c r="R43" s="8" t="s">
        <v>10</v>
      </c>
      <c r="S43" s="7" t="s">
        <v>12</v>
      </c>
      <c r="T43" s="9" t="s">
        <v>7</v>
      </c>
      <c r="U43" s="127" t="s">
        <v>8</v>
      </c>
      <c r="V43" s="6" t="s">
        <v>9</v>
      </c>
      <c r="W43" s="6" t="s">
        <v>10</v>
      </c>
      <c r="X43" s="6" t="s">
        <v>11</v>
      </c>
      <c r="Y43" s="8" t="s">
        <v>10</v>
      </c>
      <c r="Z43" s="7" t="s">
        <v>12</v>
      </c>
      <c r="AA43" s="5" t="s">
        <v>7</v>
      </c>
      <c r="AB43" s="6" t="s">
        <v>8</v>
      </c>
      <c r="AC43" s="10" t="s">
        <v>9</v>
      </c>
      <c r="AD43" s="6" t="s">
        <v>10</v>
      </c>
      <c r="AE43" s="6" t="s">
        <v>11</v>
      </c>
      <c r="AF43" s="8" t="s">
        <v>10</v>
      </c>
      <c r="AG43" s="7" t="s">
        <v>12</v>
      </c>
    </row>
    <row r="44" spans="1:39" ht="14.4" x14ac:dyDescent="0.3">
      <c r="A44" s="11" t="s">
        <v>72</v>
      </c>
      <c r="B44" s="12"/>
      <c r="C44" s="13"/>
      <c r="D44" s="13"/>
      <c r="E44" s="21"/>
      <c r="F44" s="33">
        <v>46211</v>
      </c>
      <c r="G44" s="23">
        <v>400000</v>
      </c>
      <c r="H44" s="62">
        <v>400000</v>
      </c>
      <c r="I44" s="17" t="s">
        <v>16</v>
      </c>
      <c r="J44" s="17"/>
      <c r="K44" s="17"/>
      <c r="L44" s="59"/>
      <c r="M44" s="33">
        <v>46211</v>
      </c>
      <c r="N44" s="16">
        <v>100000</v>
      </c>
      <c r="O44" s="16">
        <f t="shared" ref="O44:O56" si="9">300000-N44</f>
        <v>200000</v>
      </c>
      <c r="P44" s="17" t="s">
        <v>16</v>
      </c>
      <c r="Q44" s="17"/>
      <c r="R44" s="17"/>
      <c r="S44" s="21" t="s">
        <v>302</v>
      </c>
      <c r="T44" s="20"/>
      <c r="U44" s="128"/>
      <c r="V44" s="141">
        <f t="shared" ref="V44:V61" si="10">300000-U44-X44</f>
        <v>300000</v>
      </c>
      <c r="W44" s="21"/>
      <c r="X44" s="136"/>
      <c r="Y44" s="21"/>
      <c r="Z44" s="14"/>
      <c r="AA44" s="12"/>
      <c r="AB44" s="13"/>
      <c r="AC44" s="19"/>
      <c r="AD44" s="19"/>
      <c r="AE44" s="19"/>
      <c r="AF44" s="19"/>
      <c r="AG44" s="22"/>
    </row>
    <row r="45" spans="1:39" ht="14.25" customHeight="1" x14ac:dyDescent="0.3">
      <c r="A45" s="11" t="s">
        <v>73</v>
      </c>
      <c r="B45" s="12"/>
      <c r="C45" s="13"/>
      <c r="D45" s="13"/>
      <c r="E45" s="21"/>
      <c r="F45" s="58"/>
      <c r="G45" s="15"/>
      <c r="H45" s="16"/>
      <c r="I45" s="17"/>
      <c r="J45" s="17"/>
      <c r="K45" s="17"/>
      <c r="L45" s="21"/>
      <c r="M45" s="58"/>
      <c r="N45" s="16"/>
      <c r="O45" s="16">
        <f t="shared" si="9"/>
        <v>300000</v>
      </c>
      <c r="P45" s="17"/>
      <c r="Q45" s="17"/>
      <c r="R45" s="17"/>
      <c r="S45" s="21"/>
      <c r="T45" s="20"/>
      <c r="U45" s="128"/>
      <c r="V45" s="141">
        <f t="shared" si="10"/>
        <v>300000</v>
      </c>
      <c r="W45" s="21"/>
      <c r="X45" s="136"/>
      <c r="Y45" s="21"/>
      <c r="Z45" s="14"/>
      <c r="AA45" s="12"/>
      <c r="AB45" s="13"/>
      <c r="AC45" s="19"/>
      <c r="AD45" s="19"/>
      <c r="AE45" s="19"/>
      <c r="AF45" s="19"/>
      <c r="AG45" s="22"/>
    </row>
    <row r="46" spans="1:39" ht="28.8" x14ac:dyDescent="0.3">
      <c r="A46" s="11" t="s">
        <v>74</v>
      </c>
      <c r="B46" s="12"/>
      <c r="C46" s="13"/>
      <c r="D46" s="13"/>
      <c r="E46" s="21"/>
      <c r="F46" s="58"/>
      <c r="G46" s="28"/>
      <c r="H46" s="16"/>
      <c r="I46" s="17"/>
      <c r="J46" s="17"/>
      <c r="K46" s="17"/>
      <c r="L46" s="21"/>
      <c r="M46" s="33" t="s">
        <v>227</v>
      </c>
      <c r="N46" s="16">
        <v>300000</v>
      </c>
      <c r="O46" s="16">
        <f t="shared" si="9"/>
        <v>0</v>
      </c>
      <c r="P46" s="17" t="s">
        <v>16</v>
      </c>
      <c r="Q46" s="17"/>
      <c r="R46" s="17"/>
      <c r="S46" s="21" t="s">
        <v>19</v>
      </c>
      <c r="T46" s="126">
        <v>46223</v>
      </c>
      <c r="U46" s="128">
        <v>150000</v>
      </c>
      <c r="V46" s="141">
        <f t="shared" si="10"/>
        <v>0</v>
      </c>
      <c r="W46" s="21" t="s">
        <v>16</v>
      </c>
      <c r="X46" s="136">
        <v>150000</v>
      </c>
      <c r="Y46" s="21" t="s">
        <v>20</v>
      </c>
      <c r="Z46" s="26" t="s">
        <v>321</v>
      </c>
      <c r="AA46" s="12"/>
      <c r="AB46" s="13"/>
      <c r="AC46" s="19"/>
      <c r="AD46" s="19"/>
      <c r="AE46" s="19"/>
      <c r="AF46" s="19"/>
      <c r="AG46" s="22"/>
    </row>
    <row r="47" spans="1:39" ht="14.25" customHeight="1" x14ac:dyDescent="0.3">
      <c r="A47" s="11" t="s">
        <v>75</v>
      </c>
      <c r="B47" s="12"/>
      <c r="C47" s="13"/>
      <c r="D47" s="13"/>
      <c r="E47" s="21"/>
      <c r="F47" s="58"/>
      <c r="G47" s="28"/>
      <c r="H47" s="16"/>
      <c r="I47" s="17"/>
      <c r="J47" s="17"/>
      <c r="K47" s="17"/>
      <c r="L47" s="21"/>
      <c r="M47" s="33">
        <v>46133</v>
      </c>
      <c r="N47" s="115">
        <v>300000</v>
      </c>
      <c r="O47" s="16">
        <f t="shared" si="9"/>
        <v>0</v>
      </c>
      <c r="P47" s="120" t="s">
        <v>20</v>
      </c>
      <c r="Q47" s="17"/>
      <c r="R47" s="17"/>
      <c r="S47" s="21" t="s">
        <v>26</v>
      </c>
      <c r="T47" s="20"/>
      <c r="U47" s="128"/>
      <c r="V47" s="141">
        <f t="shared" si="10"/>
        <v>300000</v>
      </c>
      <c r="W47" s="21"/>
      <c r="X47" s="136"/>
      <c r="Y47" s="21"/>
      <c r="Z47" s="14"/>
      <c r="AA47" s="12"/>
      <c r="AB47" s="13"/>
      <c r="AC47" s="19"/>
      <c r="AD47" s="19"/>
      <c r="AE47" s="19"/>
      <c r="AF47" s="19"/>
      <c r="AG47" s="22"/>
    </row>
    <row r="48" spans="1:39" ht="28.8" x14ac:dyDescent="0.3">
      <c r="A48" s="11" t="s">
        <v>76</v>
      </c>
      <c r="B48" s="12"/>
      <c r="C48" s="13"/>
      <c r="D48" s="13"/>
      <c r="E48" s="21"/>
      <c r="F48" s="58"/>
      <c r="G48" s="28"/>
      <c r="H48" s="16"/>
      <c r="I48" s="17"/>
      <c r="J48" s="17"/>
      <c r="K48" s="17"/>
      <c r="L48" s="21"/>
      <c r="M48" s="33">
        <v>46129</v>
      </c>
      <c r="N48" s="16">
        <v>300000</v>
      </c>
      <c r="O48" s="16">
        <f t="shared" si="9"/>
        <v>0</v>
      </c>
      <c r="P48" s="17" t="s">
        <v>16</v>
      </c>
      <c r="Q48" s="17"/>
      <c r="R48" s="17"/>
      <c r="S48" s="21" t="s">
        <v>208</v>
      </c>
      <c r="T48" s="126">
        <v>46219</v>
      </c>
      <c r="U48" s="132">
        <v>300000</v>
      </c>
      <c r="V48" s="141">
        <f t="shared" si="10"/>
        <v>0</v>
      </c>
      <c r="W48" s="134" t="s">
        <v>16</v>
      </c>
      <c r="X48" s="136"/>
      <c r="Y48" s="21"/>
      <c r="Z48" s="133" t="s">
        <v>310</v>
      </c>
      <c r="AA48" s="12"/>
      <c r="AB48" s="13"/>
      <c r="AC48" s="19"/>
      <c r="AD48" s="19"/>
      <c r="AE48" s="19"/>
      <c r="AF48" s="19"/>
      <c r="AG48" s="22"/>
    </row>
    <row r="49" spans="1:33" ht="14.25" customHeight="1" x14ac:dyDescent="0.3">
      <c r="A49" s="11" t="s">
        <v>77</v>
      </c>
      <c r="B49" s="12"/>
      <c r="C49" s="13"/>
      <c r="D49" s="13"/>
      <c r="E49" s="21"/>
      <c r="F49" s="58"/>
      <c r="G49" s="28"/>
      <c r="H49" s="16"/>
      <c r="I49" s="17"/>
      <c r="J49" s="17"/>
      <c r="K49" s="17"/>
      <c r="L49" s="21"/>
      <c r="M49" s="33">
        <v>46120</v>
      </c>
      <c r="N49" s="115">
        <v>300000</v>
      </c>
      <c r="O49" s="16">
        <f t="shared" si="9"/>
        <v>0</v>
      </c>
      <c r="P49" s="17" t="s">
        <v>20</v>
      </c>
      <c r="Q49" s="17"/>
      <c r="R49" s="17"/>
      <c r="S49" s="21" t="s">
        <v>26</v>
      </c>
      <c r="T49" s="126">
        <v>46223</v>
      </c>
      <c r="U49" s="128">
        <v>200000</v>
      </c>
      <c r="V49" s="141">
        <f t="shared" si="10"/>
        <v>0</v>
      </c>
      <c r="W49" s="21" t="s">
        <v>20</v>
      </c>
      <c r="X49" s="136">
        <v>100000</v>
      </c>
      <c r="Y49" s="21" t="s">
        <v>20</v>
      </c>
      <c r="Z49" s="14"/>
      <c r="AA49" s="12"/>
      <c r="AB49" s="13"/>
      <c r="AC49" s="19"/>
      <c r="AD49" s="19"/>
      <c r="AE49" s="19"/>
      <c r="AF49" s="19"/>
      <c r="AG49" s="22"/>
    </row>
    <row r="50" spans="1:33" ht="14.25" customHeight="1" x14ac:dyDescent="0.3">
      <c r="A50" s="11" t="s">
        <v>78</v>
      </c>
      <c r="B50" s="12"/>
      <c r="C50" s="13"/>
      <c r="D50" s="13"/>
      <c r="E50" s="21"/>
      <c r="F50" s="58"/>
      <c r="G50" s="28"/>
      <c r="H50" s="16"/>
      <c r="I50" s="17"/>
      <c r="J50" s="17"/>
      <c r="K50" s="17"/>
      <c r="L50" s="21"/>
      <c r="M50" s="33">
        <v>46119</v>
      </c>
      <c r="N50" s="115">
        <v>300000</v>
      </c>
      <c r="O50" s="16">
        <f t="shared" si="9"/>
        <v>0</v>
      </c>
      <c r="P50" s="17" t="s">
        <v>20</v>
      </c>
      <c r="Q50" s="17"/>
      <c r="R50" s="17"/>
      <c r="S50" s="21" t="s">
        <v>26</v>
      </c>
      <c r="T50" s="20"/>
      <c r="U50" s="128"/>
      <c r="V50" s="141">
        <f t="shared" si="10"/>
        <v>300000</v>
      </c>
      <c r="W50" s="21"/>
      <c r="X50" s="136"/>
      <c r="Y50" s="21"/>
      <c r="Z50" s="14"/>
      <c r="AA50" s="12"/>
      <c r="AB50" s="13"/>
      <c r="AC50" s="19"/>
      <c r="AD50" s="19"/>
      <c r="AE50" s="19"/>
      <c r="AF50" s="19"/>
      <c r="AG50" s="22"/>
    </row>
    <row r="51" spans="1:33" ht="14.25" customHeight="1" x14ac:dyDescent="0.3">
      <c r="A51" s="11" t="s">
        <v>79</v>
      </c>
      <c r="B51" s="12"/>
      <c r="C51" s="13"/>
      <c r="D51" s="13"/>
      <c r="E51" s="21"/>
      <c r="F51" s="58"/>
      <c r="G51" s="28"/>
      <c r="H51" s="16"/>
      <c r="I51" s="17"/>
      <c r="J51" s="17"/>
      <c r="K51" s="17"/>
      <c r="L51" s="21"/>
      <c r="M51" s="33">
        <v>46128</v>
      </c>
      <c r="N51" s="115">
        <v>300000</v>
      </c>
      <c r="O51" s="16">
        <f t="shared" si="9"/>
        <v>0</v>
      </c>
      <c r="P51" s="92" t="s">
        <v>20</v>
      </c>
      <c r="S51" s="21" t="s">
        <v>26</v>
      </c>
      <c r="T51" s="20"/>
      <c r="U51" s="128"/>
      <c r="V51" s="141">
        <f t="shared" si="10"/>
        <v>300000</v>
      </c>
      <c r="W51" s="21"/>
      <c r="X51" s="136"/>
      <c r="Y51" s="21"/>
      <c r="Z51" s="14"/>
      <c r="AA51" s="12"/>
      <c r="AB51" s="13"/>
      <c r="AC51" s="19"/>
      <c r="AD51" s="19"/>
      <c r="AE51" s="19"/>
      <c r="AF51" s="19"/>
      <c r="AG51" s="22"/>
    </row>
    <row r="52" spans="1:33" ht="14.25" customHeight="1" x14ac:dyDescent="0.3">
      <c r="A52" s="11" t="s">
        <v>80</v>
      </c>
      <c r="B52" s="12"/>
      <c r="C52" s="13"/>
      <c r="D52" s="13"/>
      <c r="E52" s="21"/>
      <c r="F52" s="58"/>
      <c r="G52" s="28"/>
      <c r="H52" s="16"/>
      <c r="I52" s="17"/>
      <c r="J52" s="17"/>
      <c r="K52" s="17"/>
      <c r="L52" s="21"/>
      <c r="M52" s="33">
        <v>46119</v>
      </c>
      <c r="N52" s="16">
        <v>300000</v>
      </c>
      <c r="O52" s="16">
        <f t="shared" si="9"/>
        <v>0</v>
      </c>
      <c r="P52" s="17" t="s">
        <v>16</v>
      </c>
      <c r="Q52" s="17"/>
      <c r="R52" s="17"/>
      <c r="S52" s="21" t="s">
        <v>208</v>
      </c>
      <c r="T52" s="20"/>
      <c r="U52" s="128"/>
      <c r="V52" s="141">
        <f t="shared" si="10"/>
        <v>300000</v>
      </c>
      <c r="W52" s="21"/>
      <c r="X52" s="136"/>
      <c r="Y52" s="21"/>
      <c r="Z52" s="14"/>
      <c r="AA52" s="12"/>
      <c r="AB52" s="13"/>
      <c r="AC52" s="19"/>
      <c r="AD52" s="19"/>
      <c r="AE52" s="19"/>
      <c r="AF52" s="19"/>
      <c r="AG52" s="22"/>
    </row>
    <row r="53" spans="1:33" ht="14.25" customHeight="1" x14ac:dyDescent="0.3">
      <c r="A53" s="11" t="s">
        <v>81</v>
      </c>
      <c r="B53" s="12"/>
      <c r="C53" s="13"/>
      <c r="D53" s="13"/>
      <c r="E53" s="21"/>
      <c r="F53" s="58" t="s">
        <v>287</v>
      </c>
      <c r="G53" s="23">
        <v>850000</v>
      </c>
      <c r="H53" s="16"/>
      <c r="I53" s="17" t="s">
        <v>20</v>
      </c>
      <c r="J53" s="17"/>
      <c r="K53" s="17"/>
      <c r="L53" s="21"/>
      <c r="M53" s="33">
        <v>46115</v>
      </c>
      <c r="N53" s="115">
        <v>300000</v>
      </c>
      <c r="O53" s="16">
        <f t="shared" si="9"/>
        <v>0</v>
      </c>
      <c r="P53" s="17" t="s">
        <v>20</v>
      </c>
      <c r="Q53" s="17"/>
      <c r="R53" s="17"/>
      <c r="S53" s="21" t="s">
        <v>26</v>
      </c>
      <c r="T53" s="20"/>
      <c r="U53" s="128"/>
      <c r="V53" s="141">
        <f t="shared" si="10"/>
        <v>300000</v>
      </c>
      <c r="W53" s="21"/>
      <c r="X53" s="136"/>
      <c r="Y53" s="21"/>
      <c r="Z53" s="14"/>
      <c r="AA53" s="12"/>
      <c r="AB53" s="13"/>
      <c r="AC53" s="19"/>
      <c r="AD53" s="19"/>
      <c r="AE53" s="19"/>
      <c r="AF53" s="19"/>
      <c r="AG53" s="22"/>
    </row>
    <row r="54" spans="1:33" ht="14.25" customHeight="1" x14ac:dyDescent="0.3">
      <c r="A54" s="11" t="s">
        <v>82</v>
      </c>
      <c r="B54" s="12"/>
      <c r="C54" s="13"/>
      <c r="D54" s="13"/>
      <c r="E54" s="21"/>
      <c r="F54" s="58"/>
      <c r="G54" s="28"/>
      <c r="H54" s="16"/>
      <c r="I54" s="17"/>
      <c r="J54" s="17"/>
      <c r="K54" s="17"/>
      <c r="L54" s="21"/>
      <c r="M54" s="33">
        <v>46114</v>
      </c>
      <c r="N54" s="115">
        <v>300000</v>
      </c>
      <c r="O54" s="16">
        <f t="shared" si="9"/>
        <v>0</v>
      </c>
      <c r="P54" s="17" t="s">
        <v>20</v>
      </c>
      <c r="Q54" s="17"/>
      <c r="R54" s="17"/>
      <c r="S54" s="21" t="s">
        <v>26</v>
      </c>
      <c r="T54" s="126">
        <v>46223</v>
      </c>
      <c r="U54" s="128">
        <v>300000</v>
      </c>
      <c r="V54" s="141">
        <f t="shared" si="10"/>
        <v>0</v>
      </c>
      <c r="W54" s="21" t="s">
        <v>20</v>
      </c>
      <c r="X54" s="136"/>
      <c r="Y54" s="21"/>
      <c r="Z54" s="14"/>
      <c r="AA54" s="12"/>
      <c r="AB54" s="13"/>
      <c r="AC54" s="19"/>
      <c r="AD54" s="19"/>
      <c r="AE54" s="19"/>
      <c r="AF54" s="19"/>
      <c r="AG54" s="22"/>
    </row>
    <row r="55" spans="1:33" ht="14.25" customHeight="1" x14ac:dyDescent="0.3">
      <c r="A55" s="11" t="s">
        <v>83</v>
      </c>
      <c r="B55" s="12"/>
      <c r="C55" s="13"/>
      <c r="D55" s="13"/>
      <c r="E55" s="21"/>
      <c r="F55" s="58"/>
      <c r="G55" s="28"/>
      <c r="H55" s="16"/>
      <c r="I55" s="17"/>
      <c r="J55" s="17"/>
      <c r="K55" s="17"/>
      <c r="L55" s="21"/>
      <c r="M55" s="33">
        <v>46132</v>
      </c>
      <c r="N55" s="115">
        <v>300000</v>
      </c>
      <c r="O55" s="16">
        <f t="shared" si="9"/>
        <v>0</v>
      </c>
      <c r="P55" s="17" t="s">
        <v>20</v>
      </c>
      <c r="Q55" s="17"/>
      <c r="R55" s="17"/>
      <c r="S55" s="21" t="s">
        <v>26</v>
      </c>
      <c r="T55" s="20"/>
      <c r="U55" s="128"/>
      <c r="V55" s="141">
        <f t="shared" si="10"/>
        <v>300000</v>
      </c>
      <c r="W55" s="21"/>
      <c r="X55" s="136"/>
      <c r="Y55" s="21"/>
      <c r="Z55" s="14"/>
      <c r="AA55" s="12"/>
      <c r="AB55" s="13"/>
      <c r="AC55" s="19"/>
      <c r="AD55" s="19"/>
      <c r="AE55" s="19"/>
      <c r="AF55" s="19"/>
      <c r="AG55" s="22"/>
    </row>
    <row r="56" spans="1:33" ht="14.25" customHeight="1" x14ac:dyDescent="0.3">
      <c r="A56" s="11" t="s">
        <v>84</v>
      </c>
      <c r="B56" s="12"/>
      <c r="C56" s="13"/>
      <c r="D56" s="13"/>
      <c r="E56" s="21"/>
      <c r="F56" s="58"/>
      <c r="G56" s="15"/>
      <c r="H56" s="16"/>
      <c r="I56" s="17"/>
      <c r="J56" s="17"/>
      <c r="K56" s="17"/>
      <c r="L56" s="21"/>
      <c r="M56" s="58"/>
      <c r="N56" s="16"/>
      <c r="O56" s="16">
        <f t="shared" si="9"/>
        <v>300000</v>
      </c>
      <c r="P56" s="17"/>
      <c r="Q56" s="17"/>
      <c r="R56" s="17"/>
      <c r="S56" s="21"/>
      <c r="T56" s="20"/>
      <c r="U56" s="128"/>
      <c r="V56" s="141">
        <f t="shared" si="10"/>
        <v>300000</v>
      </c>
      <c r="W56" s="21"/>
      <c r="X56" s="136"/>
      <c r="Y56" s="21"/>
      <c r="Z56" s="14"/>
      <c r="AA56" s="12"/>
      <c r="AB56" s="13"/>
      <c r="AC56" s="19"/>
      <c r="AD56" s="19"/>
      <c r="AE56" s="19"/>
      <c r="AF56" s="19"/>
      <c r="AG56" s="22"/>
    </row>
    <row r="57" spans="1:33" ht="14.25" customHeight="1" x14ac:dyDescent="0.3">
      <c r="A57" s="11" t="s">
        <v>85</v>
      </c>
      <c r="B57" s="12"/>
      <c r="C57" s="13"/>
      <c r="D57" s="13"/>
      <c r="E57" s="21"/>
      <c r="F57" s="58" t="s">
        <v>287</v>
      </c>
      <c r="G57" s="28"/>
      <c r="H57" s="16"/>
      <c r="I57" s="17"/>
      <c r="J57" s="17"/>
      <c r="K57" s="17"/>
      <c r="L57" s="21"/>
      <c r="M57" s="58"/>
      <c r="N57" s="23">
        <v>400000</v>
      </c>
      <c r="O57" s="16"/>
      <c r="P57" s="17" t="s">
        <v>20</v>
      </c>
      <c r="Q57" s="17"/>
      <c r="R57" s="17"/>
      <c r="S57" s="21"/>
      <c r="T57" s="20"/>
      <c r="U57" s="128"/>
      <c r="V57" s="141">
        <f t="shared" si="10"/>
        <v>300000</v>
      </c>
      <c r="W57" s="21"/>
      <c r="X57" s="136"/>
      <c r="Y57" s="21"/>
      <c r="Z57" s="14"/>
      <c r="AA57" s="12"/>
      <c r="AB57" s="13"/>
      <c r="AC57" s="19"/>
      <c r="AD57" s="19"/>
      <c r="AE57" s="19"/>
      <c r="AF57" s="19"/>
      <c r="AG57" s="22"/>
    </row>
    <row r="58" spans="1:33" ht="14.25" customHeight="1" x14ac:dyDescent="0.3">
      <c r="A58" s="11" t="s">
        <v>86</v>
      </c>
      <c r="B58" s="12"/>
      <c r="C58" s="13"/>
      <c r="D58" s="13"/>
      <c r="E58" s="21"/>
      <c r="F58" s="58" t="s">
        <v>287</v>
      </c>
      <c r="G58" s="23">
        <v>850000</v>
      </c>
      <c r="H58" s="16"/>
      <c r="I58" s="17" t="s">
        <v>20</v>
      </c>
      <c r="J58" s="17"/>
      <c r="K58" s="17"/>
      <c r="L58" s="21"/>
      <c r="M58" s="33">
        <v>46127</v>
      </c>
      <c r="N58" s="115">
        <v>300000</v>
      </c>
      <c r="O58" s="16">
        <f t="shared" ref="O58:O61" si="11">300000-N58</f>
        <v>0</v>
      </c>
      <c r="P58" s="17" t="s">
        <v>20</v>
      </c>
      <c r="Q58" s="17"/>
      <c r="R58" s="17"/>
      <c r="S58" s="21" t="s">
        <v>26</v>
      </c>
      <c r="T58" s="20"/>
      <c r="U58" s="128"/>
      <c r="V58" s="141">
        <f t="shared" si="10"/>
        <v>300000</v>
      </c>
      <c r="W58" s="21"/>
      <c r="X58" s="136"/>
      <c r="Y58" s="21"/>
      <c r="Z58" s="14"/>
      <c r="AA58" s="12"/>
      <c r="AB58" s="13"/>
      <c r="AC58" s="19"/>
      <c r="AD58" s="19"/>
      <c r="AE58" s="19"/>
      <c r="AF58" s="19"/>
      <c r="AG58" s="22"/>
    </row>
    <row r="59" spans="1:33" ht="14.25" customHeight="1" x14ac:dyDescent="0.3">
      <c r="A59" s="11" t="s">
        <v>87</v>
      </c>
      <c r="B59" s="12"/>
      <c r="C59" s="13"/>
      <c r="D59" s="13"/>
      <c r="E59" s="21"/>
      <c r="F59" s="58"/>
      <c r="G59" s="28"/>
      <c r="H59" s="16"/>
      <c r="I59" s="17"/>
      <c r="J59" s="17"/>
      <c r="K59" s="17"/>
      <c r="L59" s="21"/>
      <c r="M59" s="33">
        <v>46118</v>
      </c>
      <c r="N59" s="115">
        <v>300000</v>
      </c>
      <c r="O59" s="16">
        <f t="shared" si="11"/>
        <v>0</v>
      </c>
      <c r="P59" s="17" t="s">
        <v>20</v>
      </c>
      <c r="Q59" s="17"/>
      <c r="R59" s="17"/>
      <c r="S59" s="21" t="s">
        <v>26</v>
      </c>
      <c r="T59" s="20"/>
      <c r="U59" s="128"/>
      <c r="V59" s="141">
        <f t="shared" si="10"/>
        <v>300000</v>
      </c>
      <c r="W59" s="21"/>
      <c r="X59" s="136"/>
      <c r="Y59" s="21"/>
      <c r="Z59" s="14"/>
      <c r="AA59" s="12"/>
      <c r="AB59" s="13"/>
      <c r="AC59" s="19"/>
      <c r="AD59" s="19"/>
      <c r="AE59" s="19"/>
      <c r="AF59" s="19"/>
      <c r="AG59" s="22"/>
    </row>
    <row r="60" spans="1:33" ht="14.25" customHeight="1" x14ac:dyDescent="0.3">
      <c r="A60" s="11" t="s">
        <v>88</v>
      </c>
      <c r="B60" s="12"/>
      <c r="C60" s="13"/>
      <c r="D60" s="13"/>
      <c r="E60" s="21"/>
      <c r="F60" s="58"/>
      <c r="G60" s="28"/>
      <c r="H60" s="16"/>
      <c r="I60" s="17"/>
      <c r="J60" s="17"/>
      <c r="K60" s="17"/>
      <c r="L60" s="21"/>
      <c r="M60" s="33">
        <v>46114</v>
      </c>
      <c r="N60" s="16">
        <v>300000</v>
      </c>
      <c r="O60" s="16">
        <f t="shared" si="11"/>
        <v>0</v>
      </c>
      <c r="P60" s="17" t="s">
        <v>16</v>
      </c>
      <c r="Q60" s="17"/>
      <c r="R60" s="17"/>
      <c r="S60" s="59" t="s">
        <v>89</v>
      </c>
      <c r="T60" s="126">
        <v>46227</v>
      </c>
      <c r="U60" s="128">
        <v>300000</v>
      </c>
      <c r="V60" s="141">
        <f t="shared" si="10"/>
        <v>0</v>
      </c>
      <c r="W60" s="21" t="s">
        <v>16</v>
      </c>
      <c r="X60" s="136"/>
      <c r="Y60" s="21"/>
      <c r="Z60" s="14" t="s">
        <v>105</v>
      </c>
      <c r="AA60" s="12"/>
      <c r="AB60" s="13"/>
      <c r="AC60" s="19"/>
      <c r="AD60" s="19"/>
      <c r="AE60" s="19"/>
      <c r="AF60" s="19"/>
      <c r="AG60" s="22"/>
    </row>
    <row r="61" spans="1:33" ht="14.25" customHeight="1" x14ac:dyDescent="0.3">
      <c r="A61" s="63" t="s">
        <v>90</v>
      </c>
      <c r="B61" s="64"/>
      <c r="C61" s="65"/>
      <c r="D61" s="65"/>
      <c r="E61" s="66"/>
      <c r="F61" s="67"/>
      <c r="G61" s="68"/>
      <c r="H61" s="69"/>
      <c r="I61" s="70"/>
      <c r="J61" s="70"/>
      <c r="K61" s="70"/>
      <c r="L61" s="66"/>
      <c r="M61" s="100">
        <v>46136</v>
      </c>
      <c r="N61" s="117">
        <v>300000</v>
      </c>
      <c r="O61" s="16">
        <f t="shared" si="11"/>
        <v>0</v>
      </c>
      <c r="P61" s="70" t="s">
        <v>20</v>
      </c>
      <c r="Q61" s="70"/>
      <c r="R61" s="70"/>
      <c r="S61" s="66" t="s">
        <v>26</v>
      </c>
      <c r="T61" s="64"/>
      <c r="U61" s="130"/>
      <c r="V61" s="141">
        <f t="shared" si="10"/>
        <v>300000</v>
      </c>
      <c r="W61" s="66"/>
      <c r="X61" s="140"/>
      <c r="Y61" s="66"/>
      <c r="Z61" s="71"/>
      <c r="AA61" s="72"/>
      <c r="AB61" s="65"/>
      <c r="AC61" s="73"/>
      <c r="AD61" s="73"/>
      <c r="AE61" s="73"/>
      <c r="AF61" s="73"/>
      <c r="AG61" s="74"/>
    </row>
    <row r="62" spans="1:33" ht="14.25" customHeight="1" x14ac:dyDescent="0.3"/>
    <row r="63" spans="1:33" ht="14.25" customHeight="1" x14ac:dyDescent="0.3"/>
    <row r="64" spans="1:3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6">
    <mergeCell ref="T42:Z42"/>
    <mergeCell ref="AA42:AG42"/>
    <mergeCell ref="T22:Z22"/>
    <mergeCell ref="AA22:AG22"/>
    <mergeCell ref="A1:AC1"/>
    <mergeCell ref="B2:E2"/>
    <mergeCell ref="F2:L2"/>
    <mergeCell ref="M2:S2"/>
    <mergeCell ref="T2:Z2"/>
    <mergeCell ref="AA2:AG2"/>
    <mergeCell ref="B22:E22"/>
    <mergeCell ref="F22:L22"/>
    <mergeCell ref="M22:S22"/>
    <mergeCell ref="B42:E42"/>
    <mergeCell ref="F42:L42"/>
    <mergeCell ref="M42:S42"/>
  </mergeCells>
  <conditionalFormatting sqref="H4:H21">
    <cfRule type="cellIs" dxfId="12" priority="3" operator="greaterThan">
      <formula>0</formula>
    </cfRule>
    <cfRule type="cellIs" dxfId="11" priority="4" operator="equal">
      <formula>0</formula>
    </cfRule>
  </conditionalFormatting>
  <conditionalFormatting sqref="H24:H41">
    <cfRule type="cellIs" dxfId="10" priority="5" operator="greaterThan">
      <formula>0</formula>
    </cfRule>
    <cfRule type="cellIs" dxfId="9" priority="6" operator="equal">
      <formula>0</formula>
    </cfRule>
  </conditionalFormatting>
  <conditionalFormatting sqref="H44">
    <cfRule type="cellIs" dxfId="8" priority="7" operator="greaterThan">
      <formula>0</formula>
    </cfRule>
    <cfRule type="cellIs" dxfId="7" priority="8" operator="equal">
      <formula>0</formula>
    </cfRule>
  </conditionalFormatting>
  <conditionalFormatting sqref="O4:O21 O24:O41 O44:O61">
    <cfRule type="cellIs" dxfId="6" priority="9" operator="notEqual">
      <formula>0</formula>
    </cfRule>
    <cfRule type="cellIs" dxfId="5" priority="10" operator="equal">
      <formula>0</formula>
    </cfRule>
  </conditionalFormatting>
  <conditionalFormatting sqref="O4:O21">
    <cfRule type="cellIs" dxfId="4" priority="11" operator="greaterThan">
      <formula>0</formula>
    </cfRule>
  </conditionalFormatting>
  <conditionalFormatting sqref="O24:O41">
    <cfRule type="cellIs" dxfId="3" priority="12" operator="greaterThan">
      <formula>0</formula>
    </cfRule>
  </conditionalFormatting>
  <conditionalFormatting sqref="O44:O61">
    <cfRule type="cellIs" dxfId="2" priority="13" operator="greaterThan">
      <formula>0</formula>
    </cfRule>
  </conditionalFormatting>
  <conditionalFormatting sqref="V4:V21 V24:V41 V44:V61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1000"/>
  <sheetViews>
    <sheetView topLeftCell="C1" workbookViewId="0">
      <selection activeCell="H19" sqref="F18:H19"/>
    </sheetView>
  </sheetViews>
  <sheetFormatPr defaultColWidth="14.44140625" defaultRowHeight="15" customHeight="1" x14ac:dyDescent="0.3"/>
  <cols>
    <col min="1" max="6" width="11.44140625" customWidth="1"/>
    <col min="7" max="7" width="33.33203125" bestFit="1" customWidth="1"/>
    <col min="8" max="9" width="11.44140625" customWidth="1"/>
    <col min="10" max="10" width="16" bestFit="1" customWidth="1"/>
    <col min="11" max="11" width="12.33203125" bestFit="1" customWidth="1"/>
    <col min="12" max="12" width="13.6640625" bestFit="1" customWidth="1"/>
    <col min="13" max="13" width="12.33203125" customWidth="1"/>
    <col min="14" max="26" width="11.44140625" customWidth="1"/>
  </cols>
  <sheetData>
    <row r="1" spans="1:13" ht="14.25" customHeight="1" x14ac:dyDescent="0.4">
      <c r="A1" s="155" t="s">
        <v>91</v>
      </c>
      <c r="B1" s="156"/>
      <c r="C1" s="156"/>
    </row>
    <row r="2" spans="1:13" ht="14.25" customHeight="1" x14ac:dyDescent="0.3">
      <c r="A2" s="157" t="s">
        <v>92</v>
      </c>
      <c r="B2" s="156"/>
      <c r="F2" s="157" t="s">
        <v>93</v>
      </c>
      <c r="G2" s="156"/>
      <c r="H2" s="156"/>
    </row>
    <row r="3" spans="1:13" ht="14.25" customHeight="1" x14ac:dyDescent="0.3">
      <c r="A3" s="156"/>
      <c r="B3" s="156"/>
      <c r="F3" s="156"/>
      <c r="G3" s="156"/>
      <c r="H3" s="156"/>
    </row>
    <row r="4" spans="1:13" ht="14.25" customHeight="1" x14ac:dyDescent="0.3">
      <c r="A4" s="27" t="s">
        <v>7</v>
      </c>
      <c r="B4" s="27" t="s">
        <v>94</v>
      </c>
      <c r="F4" s="27" t="s">
        <v>7</v>
      </c>
      <c r="G4" s="27" t="s">
        <v>10</v>
      </c>
      <c r="H4" s="27" t="s">
        <v>95</v>
      </c>
    </row>
    <row r="5" spans="1:13" ht="14.25" customHeight="1" x14ac:dyDescent="0.3">
      <c r="F5" s="75">
        <v>46038</v>
      </c>
      <c r="G5" s="27" t="s">
        <v>218</v>
      </c>
      <c r="H5" s="76">
        <v>75000</v>
      </c>
    </row>
    <row r="6" spans="1:13" ht="14.25" customHeight="1" x14ac:dyDescent="0.3">
      <c r="F6" s="75">
        <v>46097</v>
      </c>
      <c r="G6" s="27" t="s">
        <v>218</v>
      </c>
      <c r="H6" s="77">
        <v>75000</v>
      </c>
    </row>
    <row r="7" spans="1:13" ht="14.25" customHeight="1" x14ac:dyDescent="0.3">
      <c r="F7" s="75">
        <v>46106</v>
      </c>
      <c r="G7" s="27" t="s">
        <v>96</v>
      </c>
      <c r="H7" s="78">
        <v>10000</v>
      </c>
    </row>
    <row r="8" spans="1:13" ht="14.25" customHeight="1" x14ac:dyDescent="0.3">
      <c r="F8" s="91">
        <v>46127</v>
      </c>
      <c r="G8" s="27" t="s">
        <v>218</v>
      </c>
      <c r="H8" s="78">
        <v>75000</v>
      </c>
    </row>
    <row r="9" spans="1:13" ht="14.25" customHeight="1" x14ac:dyDescent="0.3">
      <c r="F9" s="91">
        <v>46132</v>
      </c>
      <c r="G9" s="101" t="s">
        <v>255</v>
      </c>
      <c r="H9" s="78">
        <v>30000</v>
      </c>
    </row>
    <row r="10" spans="1:13" ht="14.25" customHeight="1" x14ac:dyDescent="0.3">
      <c r="F10" s="91">
        <v>46160</v>
      </c>
      <c r="G10" s="27" t="s">
        <v>218</v>
      </c>
      <c r="H10" s="78">
        <v>75000</v>
      </c>
    </row>
    <row r="11" spans="1:13" ht="14.25" customHeight="1" x14ac:dyDescent="0.3">
      <c r="F11" s="91">
        <v>46188</v>
      </c>
      <c r="G11" s="27" t="s">
        <v>218</v>
      </c>
      <c r="H11" s="78">
        <v>75000</v>
      </c>
      <c r="L11" s="27" t="s">
        <v>97</v>
      </c>
      <c r="M11" s="27">
        <f>SUM(B5:B500)</f>
        <v>0</v>
      </c>
    </row>
    <row r="12" spans="1:13" ht="14.25" customHeight="1" x14ac:dyDescent="0.3">
      <c r="F12" s="91">
        <v>46188</v>
      </c>
      <c r="G12" t="s">
        <v>96</v>
      </c>
      <c r="H12" s="78">
        <v>10000</v>
      </c>
      <c r="L12" s="27" t="s">
        <v>98</v>
      </c>
      <c r="M12" s="79">
        <f>SUM(H5:H500)</f>
        <v>582760</v>
      </c>
    </row>
    <row r="13" spans="1:13" ht="28.8" x14ac:dyDescent="0.3">
      <c r="F13" s="91">
        <v>46190</v>
      </c>
      <c r="G13" s="121" t="s">
        <v>290</v>
      </c>
      <c r="H13" s="78">
        <v>53760</v>
      </c>
    </row>
    <row r="14" spans="1:13" ht="14.25" customHeight="1" x14ac:dyDescent="0.3">
      <c r="F14" s="91">
        <v>46204</v>
      </c>
      <c r="G14" t="s">
        <v>309</v>
      </c>
      <c r="H14" s="78">
        <v>10000</v>
      </c>
    </row>
    <row r="15" spans="1:13" ht="14.25" customHeight="1" x14ac:dyDescent="0.3">
      <c r="F15" s="91">
        <v>46209</v>
      </c>
      <c r="G15" t="s">
        <v>96</v>
      </c>
      <c r="H15" s="78">
        <v>10000</v>
      </c>
      <c r="L15" s="27" t="s">
        <v>99</v>
      </c>
      <c r="M15" s="79">
        <f>M11-M12</f>
        <v>-582760</v>
      </c>
    </row>
    <row r="16" spans="1:13" ht="14.25" customHeight="1" x14ac:dyDescent="0.3">
      <c r="F16" s="91">
        <v>46209</v>
      </c>
      <c r="G16" t="s">
        <v>300</v>
      </c>
      <c r="H16" s="78">
        <v>7000</v>
      </c>
    </row>
    <row r="17" spans="6:11" ht="14.25" customHeight="1" x14ac:dyDescent="0.3">
      <c r="F17" s="91">
        <v>46215</v>
      </c>
      <c r="G17" t="s">
        <v>300</v>
      </c>
      <c r="H17" s="78">
        <v>2000</v>
      </c>
    </row>
    <row r="18" spans="6:11" ht="14.25" customHeight="1" x14ac:dyDescent="0.3">
      <c r="F18" s="91">
        <v>46224</v>
      </c>
      <c r="G18" t="s">
        <v>314</v>
      </c>
      <c r="H18" s="78">
        <v>11000</v>
      </c>
    </row>
    <row r="19" spans="6:11" ht="14.25" customHeight="1" x14ac:dyDescent="0.3">
      <c r="F19" s="91">
        <v>46218</v>
      </c>
      <c r="G19" t="s">
        <v>314</v>
      </c>
      <c r="H19" s="78">
        <v>64000</v>
      </c>
    </row>
    <row r="20" spans="6:11" ht="14.25" customHeight="1" x14ac:dyDescent="0.3"/>
    <row r="21" spans="6:11" ht="14.25" customHeight="1" x14ac:dyDescent="0.3"/>
    <row r="22" spans="6:11" ht="14.25" customHeight="1" x14ac:dyDescent="0.3">
      <c r="K22">
        <v>811951</v>
      </c>
    </row>
    <row r="23" spans="6:11" ht="14.25" customHeight="1" x14ac:dyDescent="0.3">
      <c r="J23" t="s">
        <v>315</v>
      </c>
      <c r="K23" s="142">
        <f>K22-M12</f>
        <v>229191</v>
      </c>
    </row>
    <row r="24" spans="6:11" ht="14.25" customHeight="1" x14ac:dyDescent="0.3"/>
    <row r="25" spans="6:11" ht="14.25" customHeight="1" x14ac:dyDescent="0.3"/>
    <row r="26" spans="6:11" ht="14.25" customHeight="1" x14ac:dyDescent="0.3"/>
    <row r="27" spans="6:11" ht="14.25" customHeight="1" x14ac:dyDescent="0.3"/>
    <row r="28" spans="6:11" ht="14.25" customHeight="1" x14ac:dyDescent="0.3"/>
    <row r="29" spans="6:11" ht="14.25" customHeight="1" x14ac:dyDescent="0.3"/>
    <row r="30" spans="6:11" ht="14.25" customHeight="1" x14ac:dyDescent="0.3"/>
    <row r="31" spans="6:11" ht="14.25" customHeight="1" x14ac:dyDescent="0.3"/>
    <row r="32" spans="6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C1"/>
    <mergeCell ref="A2:B3"/>
    <mergeCell ref="F2:H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2F7E-493D-4341-BEC0-8CBE0970BFB1}">
  <sheetPr>
    <tabColor rgb="FFFF0000"/>
  </sheetPr>
  <dimension ref="A1:N997"/>
  <sheetViews>
    <sheetView topLeftCell="A22" zoomScale="86" zoomScaleNormal="85" workbookViewId="0">
      <selection activeCell="B46" sqref="B46"/>
    </sheetView>
  </sheetViews>
  <sheetFormatPr defaultColWidth="14.44140625" defaultRowHeight="15" customHeight="1" x14ac:dyDescent="0.3"/>
  <cols>
    <col min="1" max="1" width="10.88671875" customWidth="1"/>
    <col min="2" max="2" width="58.77734375" bestFit="1" customWidth="1"/>
    <col min="3" max="3" width="26.6640625" customWidth="1"/>
    <col min="4" max="4" width="10.6640625" customWidth="1"/>
    <col min="5" max="11" width="8.6640625" customWidth="1"/>
    <col min="12" max="12" width="20.6640625" customWidth="1"/>
    <col min="13" max="13" width="24" customWidth="1"/>
    <col min="14" max="14" width="34.6640625" customWidth="1"/>
    <col min="15" max="26" width="8.6640625" customWidth="1"/>
  </cols>
  <sheetData>
    <row r="1" spans="1:4" ht="28.8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103">
        <v>46204</v>
      </c>
      <c r="B4" s="104" t="s">
        <v>103</v>
      </c>
      <c r="C4" s="94">
        <v>142226.5</v>
      </c>
      <c r="D4" s="99" t="s">
        <v>20</v>
      </c>
    </row>
    <row r="5" spans="1:4" ht="21" customHeight="1" x14ac:dyDescent="0.3">
      <c r="A5" s="103">
        <v>46204</v>
      </c>
      <c r="B5" s="104" t="s">
        <v>103</v>
      </c>
      <c r="C5" s="94">
        <v>91000</v>
      </c>
      <c r="D5" s="99" t="s">
        <v>20</v>
      </c>
    </row>
    <row r="6" spans="1:4" ht="14.25" customHeight="1" x14ac:dyDescent="0.3">
      <c r="A6" s="103">
        <v>46206</v>
      </c>
      <c r="B6" s="99" t="s">
        <v>155</v>
      </c>
      <c r="C6" s="94">
        <v>1500000</v>
      </c>
      <c r="D6" s="99" t="s">
        <v>20</v>
      </c>
    </row>
    <row r="7" spans="1:4" ht="14.25" customHeight="1" x14ac:dyDescent="0.3">
      <c r="A7" s="103">
        <v>46209</v>
      </c>
      <c r="B7" s="99" t="s">
        <v>299</v>
      </c>
      <c r="C7" s="94">
        <v>450000</v>
      </c>
      <c r="D7" s="99" t="s">
        <v>20</v>
      </c>
    </row>
    <row r="8" spans="1:4" ht="14.25" customHeight="1" x14ac:dyDescent="0.3">
      <c r="A8" s="103">
        <v>46209</v>
      </c>
      <c r="B8" s="99" t="s">
        <v>101</v>
      </c>
      <c r="C8" s="94">
        <v>150000</v>
      </c>
      <c r="D8" s="99" t="s">
        <v>20</v>
      </c>
    </row>
    <row r="9" spans="1:4" ht="14.4" x14ac:dyDescent="0.3">
      <c r="A9" s="103">
        <v>46209</v>
      </c>
      <c r="B9" s="110" t="s">
        <v>301</v>
      </c>
      <c r="C9" s="94">
        <v>55490</v>
      </c>
      <c r="D9" s="99" t="s">
        <v>20</v>
      </c>
    </row>
    <row r="10" spans="1:4" ht="14.25" customHeight="1" x14ac:dyDescent="0.3">
      <c r="A10" s="103">
        <v>46211</v>
      </c>
      <c r="B10" s="99" t="s">
        <v>303</v>
      </c>
      <c r="C10" s="94">
        <v>500000</v>
      </c>
      <c r="D10" s="99" t="s">
        <v>16</v>
      </c>
    </row>
    <row r="11" spans="1:4" ht="14.25" customHeight="1" x14ac:dyDescent="0.3">
      <c r="A11" s="103">
        <v>46211</v>
      </c>
      <c r="B11" s="99" t="s">
        <v>304</v>
      </c>
      <c r="C11" s="94">
        <v>94400</v>
      </c>
      <c r="D11" s="99" t="s">
        <v>20</v>
      </c>
    </row>
    <row r="12" spans="1:4" ht="14.25" customHeight="1" x14ac:dyDescent="0.3">
      <c r="A12" s="103">
        <v>46213</v>
      </c>
      <c r="B12" s="99" t="s">
        <v>303</v>
      </c>
      <c r="C12" s="94">
        <v>110000</v>
      </c>
      <c r="D12" s="99" t="s">
        <v>16</v>
      </c>
    </row>
    <row r="13" spans="1:4" ht="14.25" customHeight="1" x14ac:dyDescent="0.3">
      <c r="A13" s="106">
        <v>46216</v>
      </c>
      <c r="B13" s="107" t="s">
        <v>279</v>
      </c>
      <c r="C13" s="94">
        <v>23314</v>
      </c>
      <c r="D13" s="99" t="s">
        <v>20</v>
      </c>
    </row>
    <row r="14" spans="1:4" ht="14.25" customHeight="1" x14ac:dyDescent="0.3">
      <c r="A14" s="103">
        <v>46217</v>
      </c>
      <c r="B14" s="99" t="s">
        <v>305</v>
      </c>
      <c r="C14" s="94">
        <v>160000</v>
      </c>
      <c r="D14" s="99" t="s">
        <v>20</v>
      </c>
    </row>
    <row r="15" spans="1:4" ht="14.25" customHeight="1" x14ac:dyDescent="0.3">
      <c r="A15" s="103">
        <v>46219</v>
      </c>
      <c r="B15" s="135" t="s">
        <v>303</v>
      </c>
      <c r="C15" s="94">
        <v>277770</v>
      </c>
      <c r="D15" s="135" t="s">
        <v>16</v>
      </c>
    </row>
    <row r="16" spans="1:4" ht="14.25" customHeight="1" x14ac:dyDescent="0.3">
      <c r="A16" s="103">
        <v>46219</v>
      </c>
      <c r="B16" s="135" t="s">
        <v>311</v>
      </c>
      <c r="C16" s="94">
        <v>22230</v>
      </c>
      <c r="D16" s="135" t="s">
        <v>16</v>
      </c>
    </row>
    <row r="17" spans="1:14" ht="14.25" customHeight="1" x14ac:dyDescent="0.3">
      <c r="A17" s="103">
        <v>46220</v>
      </c>
      <c r="B17" s="135" t="s">
        <v>303</v>
      </c>
      <c r="C17" s="94">
        <v>250000</v>
      </c>
      <c r="D17" s="135" t="s">
        <v>16</v>
      </c>
    </row>
    <row r="18" spans="1:14" ht="14.25" customHeight="1" x14ac:dyDescent="0.3">
      <c r="A18" s="103">
        <v>46220</v>
      </c>
      <c r="B18" s="99" t="s">
        <v>305</v>
      </c>
      <c r="C18" s="94">
        <v>50000</v>
      </c>
      <c r="D18" s="99" t="s">
        <v>20</v>
      </c>
    </row>
    <row r="19" spans="1:14" ht="14.25" customHeight="1" x14ac:dyDescent="0.3">
      <c r="A19" s="103">
        <v>46223</v>
      </c>
      <c r="B19" s="99" t="s">
        <v>305</v>
      </c>
      <c r="C19" s="94">
        <v>60000</v>
      </c>
      <c r="D19" s="99" t="s">
        <v>20</v>
      </c>
    </row>
    <row r="20" spans="1:14" ht="14.25" customHeight="1" x14ac:dyDescent="0.3">
      <c r="A20" s="103">
        <v>46223</v>
      </c>
      <c r="B20" s="99" t="s">
        <v>305</v>
      </c>
      <c r="C20" s="94">
        <v>60000</v>
      </c>
      <c r="D20" s="99" t="s">
        <v>20</v>
      </c>
    </row>
    <row r="21" spans="1:14" ht="14.25" customHeight="1" x14ac:dyDescent="0.3">
      <c r="A21" s="103">
        <v>46223</v>
      </c>
      <c r="B21" s="99" t="s">
        <v>305</v>
      </c>
      <c r="C21" s="94">
        <v>60000</v>
      </c>
      <c r="D21" s="99" t="s">
        <v>20</v>
      </c>
    </row>
    <row r="22" spans="1:14" ht="14.25" customHeight="1" x14ac:dyDescent="0.3">
      <c r="A22" s="103">
        <v>46223</v>
      </c>
      <c r="B22" s="99" t="s">
        <v>305</v>
      </c>
      <c r="C22" s="94">
        <v>30000</v>
      </c>
      <c r="D22" s="99" t="s">
        <v>20</v>
      </c>
    </row>
    <row r="23" spans="1:14" ht="14.25" customHeight="1" x14ac:dyDescent="0.3">
      <c r="A23" s="103">
        <v>46223</v>
      </c>
      <c r="B23" s="99" t="s">
        <v>305</v>
      </c>
      <c r="C23" s="94">
        <v>60000</v>
      </c>
      <c r="D23" s="99" t="s">
        <v>20</v>
      </c>
    </row>
    <row r="24" spans="1:14" ht="14.25" customHeight="1" x14ac:dyDescent="0.3">
      <c r="A24" s="103">
        <v>46223</v>
      </c>
      <c r="B24" s="107" t="s">
        <v>313</v>
      </c>
      <c r="C24" s="94">
        <v>150000</v>
      </c>
      <c r="D24" s="99" t="s">
        <v>20</v>
      </c>
    </row>
    <row r="25" spans="1:14" ht="14.25" customHeight="1" x14ac:dyDescent="0.3">
      <c r="A25" s="103">
        <v>46223</v>
      </c>
      <c r="B25" s="107" t="s">
        <v>313</v>
      </c>
      <c r="C25" s="94">
        <v>100000</v>
      </c>
      <c r="D25" s="99" t="s">
        <v>20</v>
      </c>
      <c r="L25" s="80" t="s">
        <v>42</v>
      </c>
      <c r="M25" s="80" t="s">
        <v>45</v>
      </c>
      <c r="N25" s="80" t="s">
        <v>107</v>
      </c>
    </row>
    <row r="26" spans="1:14" ht="14.25" customHeight="1" x14ac:dyDescent="0.3">
      <c r="A26" s="103">
        <v>46223</v>
      </c>
      <c r="B26" s="99" t="s">
        <v>303</v>
      </c>
      <c r="C26" s="94">
        <v>150000</v>
      </c>
      <c r="D26" s="99" t="s">
        <v>16</v>
      </c>
      <c r="L26" s="79">
        <f>SUMIF(D4:D67,"N",C4:C67)</f>
        <v>5082757.17</v>
      </c>
      <c r="M26" s="79">
        <f>SUMIF(D4:D67,"D",C4:C67)</f>
        <v>2210000</v>
      </c>
      <c r="N26" s="79">
        <v>33504000</v>
      </c>
    </row>
    <row r="27" spans="1:14" ht="14.25" customHeight="1" x14ac:dyDescent="0.3">
      <c r="A27" s="103">
        <v>46223</v>
      </c>
      <c r="B27" s="99" t="s">
        <v>303</v>
      </c>
      <c r="C27" s="94">
        <v>150000</v>
      </c>
      <c r="D27" s="99" t="s">
        <v>16</v>
      </c>
    </row>
    <row r="28" spans="1:14" ht="14.25" customHeight="1" x14ac:dyDescent="0.3">
      <c r="A28" s="103">
        <v>46223</v>
      </c>
      <c r="B28" s="99" t="s">
        <v>303</v>
      </c>
      <c r="C28" s="94">
        <v>300000</v>
      </c>
      <c r="D28" s="99" t="s">
        <v>16</v>
      </c>
    </row>
    <row r="29" spans="1:14" ht="14.4" x14ac:dyDescent="0.3">
      <c r="A29" s="106">
        <v>46224</v>
      </c>
      <c r="B29" s="107" t="s">
        <v>316</v>
      </c>
      <c r="C29" s="94">
        <v>17500</v>
      </c>
      <c r="D29" s="99" t="s">
        <v>20</v>
      </c>
    </row>
    <row r="30" spans="1:14" ht="14.25" customHeight="1" x14ac:dyDescent="0.3">
      <c r="A30" s="106">
        <v>46224</v>
      </c>
      <c r="B30" s="99" t="s">
        <v>232</v>
      </c>
      <c r="C30" s="94">
        <v>15000</v>
      </c>
      <c r="D30" s="99" t="s">
        <v>20</v>
      </c>
    </row>
    <row r="31" spans="1:14" ht="14.25" customHeight="1" x14ac:dyDescent="0.3">
      <c r="A31" s="106">
        <v>46224</v>
      </c>
      <c r="B31" s="99" t="s">
        <v>317</v>
      </c>
      <c r="C31" s="94">
        <v>393050</v>
      </c>
      <c r="D31" s="99" t="s">
        <v>20</v>
      </c>
    </row>
    <row r="32" spans="1:14" ht="14.25" customHeight="1" x14ac:dyDescent="0.3">
      <c r="A32" s="106">
        <v>46224</v>
      </c>
      <c r="B32" s="99" t="s">
        <v>319</v>
      </c>
      <c r="C32" s="94">
        <v>200000</v>
      </c>
      <c r="D32" s="99" t="s">
        <v>20</v>
      </c>
    </row>
    <row r="33" spans="1:4" ht="14.25" customHeight="1" x14ac:dyDescent="0.3">
      <c r="A33" s="106">
        <v>46224</v>
      </c>
      <c r="B33" s="104" t="s">
        <v>313</v>
      </c>
      <c r="C33" s="94">
        <v>50000</v>
      </c>
      <c r="D33" s="99" t="s">
        <v>20</v>
      </c>
    </row>
    <row r="34" spans="1:4" ht="14.25" customHeight="1" x14ac:dyDescent="0.3">
      <c r="A34" s="106">
        <v>46224</v>
      </c>
      <c r="B34" s="99" t="s">
        <v>318</v>
      </c>
      <c r="C34" s="94">
        <v>30000</v>
      </c>
      <c r="D34" s="99" t="s">
        <v>20</v>
      </c>
    </row>
    <row r="35" spans="1:4" ht="14.25" customHeight="1" x14ac:dyDescent="0.3">
      <c r="A35" s="103">
        <v>46225</v>
      </c>
      <c r="B35" s="99" t="s">
        <v>317</v>
      </c>
      <c r="C35" s="96">
        <v>100000</v>
      </c>
      <c r="D35" s="99" t="s">
        <v>20</v>
      </c>
    </row>
    <row r="36" spans="1:4" ht="14.25" customHeight="1" x14ac:dyDescent="0.3">
      <c r="A36" s="103">
        <v>46226</v>
      </c>
      <c r="B36" s="99" t="s">
        <v>317</v>
      </c>
      <c r="C36" s="94">
        <v>150000</v>
      </c>
      <c r="D36" s="99" t="s">
        <v>20</v>
      </c>
    </row>
    <row r="37" spans="1:4" ht="14.25" customHeight="1" x14ac:dyDescent="0.3">
      <c r="A37" s="103">
        <v>46226</v>
      </c>
      <c r="B37" s="99" t="s">
        <v>317</v>
      </c>
      <c r="C37" s="94">
        <v>50000</v>
      </c>
      <c r="D37" s="99" t="s">
        <v>20</v>
      </c>
    </row>
    <row r="38" spans="1:4" ht="14.25" customHeight="1" x14ac:dyDescent="0.3">
      <c r="A38" s="103">
        <v>46227</v>
      </c>
      <c r="B38" s="99" t="s">
        <v>322</v>
      </c>
      <c r="C38" s="94">
        <v>100000</v>
      </c>
      <c r="D38" s="99" t="s">
        <v>20</v>
      </c>
    </row>
    <row r="39" spans="1:4" ht="14.25" customHeight="1" x14ac:dyDescent="0.3">
      <c r="A39" s="103">
        <v>46227</v>
      </c>
      <c r="B39" s="99" t="s">
        <v>303</v>
      </c>
      <c r="C39" s="94">
        <v>300000</v>
      </c>
      <c r="D39" s="99" t="s">
        <v>16</v>
      </c>
    </row>
    <row r="40" spans="1:4" ht="14.25" customHeight="1" x14ac:dyDescent="0.3">
      <c r="A40" s="103">
        <v>46227</v>
      </c>
      <c r="B40" s="99" t="s">
        <v>303</v>
      </c>
      <c r="C40" s="94">
        <v>150000</v>
      </c>
      <c r="D40" s="99" t="s">
        <v>16</v>
      </c>
    </row>
    <row r="41" spans="1:4" ht="14.25" customHeight="1" x14ac:dyDescent="0.3">
      <c r="A41" s="103">
        <v>46227</v>
      </c>
      <c r="B41" s="99" t="s">
        <v>317</v>
      </c>
      <c r="C41" s="94">
        <v>75000</v>
      </c>
      <c r="D41" s="99" t="s">
        <v>20</v>
      </c>
    </row>
    <row r="42" spans="1:4" ht="14.25" customHeight="1" x14ac:dyDescent="0.3">
      <c r="A42" s="103">
        <v>46227</v>
      </c>
      <c r="B42" s="99" t="s">
        <v>317</v>
      </c>
      <c r="C42" s="94">
        <v>125000</v>
      </c>
      <c r="D42" s="99" t="s">
        <v>20</v>
      </c>
    </row>
    <row r="43" spans="1:4" ht="14.25" customHeight="1" x14ac:dyDescent="0.3">
      <c r="A43" s="103">
        <v>46227</v>
      </c>
      <c r="B43" s="99" t="s">
        <v>323</v>
      </c>
      <c r="C43" s="94">
        <v>110000</v>
      </c>
      <c r="D43" s="99" t="s">
        <v>20</v>
      </c>
    </row>
    <row r="44" spans="1:4" ht="14.25" customHeight="1" x14ac:dyDescent="0.3">
      <c r="A44" s="103">
        <v>46227</v>
      </c>
      <c r="B44" s="99" t="s">
        <v>323</v>
      </c>
      <c r="C44" s="94">
        <v>89000</v>
      </c>
      <c r="D44" s="99" t="s">
        <v>20</v>
      </c>
    </row>
    <row r="45" spans="1:4" ht="14.25" customHeight="1" x14ac:dyDescent="0.3">
      <c r="A45" s="98">
        <v>46230</v>
      </c>
      <c r="B45" s="99" t="s">
        <v>324</v>
      </c>
      <c r="C45" s="94">
        <v>101776.67</v>
      </c>
      <c r="D45" s="99" t="s">
        <v>20</v>
      </c>
    </row>
    <row r="46" spans="1:4" ht="14.25" customHeight="1" x14ac:dyDescent="0.3">
      <c r="A46" s="98">
        <v>46230</v>
      </c>
      <c r="B46" s="99" t="s">
        <v>317</v>
      </c>
      <c r="C46" s="94">
        <v>120000</v>
      </c>
      <c r="D46" s="99" t="s">
        <v>20</v>
      </c>
    </row>
    <row r="47" spans="1:4" ht="14.25" customHeight="1" x14ac:dyDescent="0.3">
      <c r="A47" s="98">
        <v>46230</v>
      </c>
      <c r="B47" s="99" t="s">
        <v>317</v>
      </c>
      <c r="C47" s="94">
        <v>80000</v>
      </c>
      <c r="D47" s="99" t="s">
        <v>20</v>
      </c>
    </row>
    <row r="48" spans="1:4" ht="14.25" customHeight="1" x14ac:dyDescent="0.3">
      <c r="A48" s="98">
        <v>46230</v>
      </c>
      <c r="B48" s="99" t="s">
        <v>325</v>
      </c>
      <c r="C48" s="94">
        <v>40000</v>
      </c>
      <c r="D48" s="99" t="s">
        <v>20</v>
      </c>
    </row>
    <row r="49" spans="1:3" ht="14.25" customHeight="1" x14ac:dyDescent="0.3">
      <c r="A49" s="91"/>
      <c r="C49" s="97"/>
    </row>
    <row r="50" spans="1:3" ht="14.25" customHeight="1" x14ac:dyDescent="0.3">
      <c r="A50" s="98"/>
      <c r="B50" s="99"/>
      <c r="C50" s="94"/>
    </row>
    <row r="51" spans="1:3" ht="14.25" customHeight="1" x14ac:dyDescent="0.3">
      <c r="A51" s="91"/>
      <c r="B51" s="27"/>
      <c r="C51" s="97"/>
    </row>
    <row r="52" spans="1:3" ht="14.4" x14ac:dyDescent="0.3">
      <c r="A52" s="91"/>
      <c r="B52" s="102"/>
      <c r="C52" s="97"/>
    </row>
    <row r="53" spans="1:3" ht="14.25" customHeight="1" x14ac:dyDescent="0.3">
      <c r="A53" s="91"/>
      <c r="B53" s="101"/>
      <c r="C53" s="97"/>
    </row>
    <row r="54" spans="1:3" ht="14.25" customHeight="1" x14ac:dyDescent="0.3">
      <c r="A54" s="91"/>
      <c r="C54" s="97"/>
    </row>
    <row r="55" spans="1:3" ht="14.25" customHeight="1" x14ac:dyDescent="0.3">
      <c r="A55" s="91"/>
      <c r="C55" s="97"/>
    </row>
    <row r="56" spans="1:3" ht="14.25" customHeight="1" x14ac:dyDescent="0.3">
      <c r="A56" s="91"/>
      <c r="C56" s="97"/>
    </row>
    <row r="57" spans="1:3" ht="14.25" customHeight="1" x14ac:dyDescent="0.3">
      <c r="A57" s="91"/>
      <c r="C57" s="97"/>
    </row>
    <row r="58" spans="1:3" ht="14.25" customHeight="1" x14ac:dyDescent="0.3"/>
    <row r="59" spans="1:3" ht="14.25" customHeight="1" x14ac:dyDescent="0.3"/>
    <row r="60" spans="1:3" ht="14.25" customHeight="1" x14ac:dyDescent="0.3"/>
    <row r="61" spans="1:3" ht="14.25" customHeight="1" x14ac:dyDescent="0.3"/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mergeCells count="1">
    <mergeCell ref="A1:C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9347-1452-446E-B1D8-6EA91D7A30D8}">
  <sheetPr>
    <tabColor rgb="FFFF0000"/>
  </sheetPr>
  <dimension ref="A1:N1001"/>
  <sheetViews>
    <sheetView topLeftCell="A16" zoomScale="86" zoomScaleNormal="85" workbookViewId="0">
      <selection activeCell="A24" sqref="A24"/>
    </sheetView>
  </sheetViews>
  <sheetFormatPr defaultColWidth="14.44140625" defaultRowHeight="15" customHeight="1" x14ac:dyDescent="0.3"/>
  <cols>
    <col min="1" max="1" width="10.88671875" customWidth="1"/>
    <col min="2" max="2" width="58.77734375" bestFit="1" customWidth="1"/>
    <col min="3" max="3" width="26.6640625" customWidth="1"/>
    <col min="4" max="4" width="10.6640625" customWidth="1"/>
    <col min="5" max="11" width="8.6640625" customWidth="1"/>
    <col min="12" max="12" width="20.6640625" customWidth="1"/>
    <col min="13" max="13" width="24" customWidth="1"/>
    <col min="14" max="14" width="34.6640625" customWidth="1"/>
    <col min="15" max="26" width="8.6640625" customWidth="1"/>
  </cols>
  <sheetData>
    <row r="1" spans="1:4" ht="28.8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103">
        <v>46175</v>
      </c>
      <c r="B4" s="104" t="s">
        <v>270</v>
      </c>
      <c r="C4" s="94">
        <v>78000</v>
      </c>
      <c r="D4" s="99" t="s">
        <v>20</v>
      </c>
    </row>
    <row r="5" spans="1:4" ht="21" customHeight="1" x14ac:dyDescent="0.3">
      <c r="A5" s="103">
        <v>46177</v>
      </c>
      <c r="B5" s="104" t="s">
        <v>271</v>
      </c>
      <c r="C5" s="94">
        <v>187945.39</v>
      </c>
      <c r="D5" s="99" t="s">
        <v>20</v>
      </c>
    </row>
    <row r="6" spans="1:4" ht="14.25" customHeight="1" x14ac:dyDescent="0.3">
      <c r="A6" s="103">
        <v>46177</v>
      </c>
      <c r="B6" s="99" t="s">
        <v>272</v>
      </c>
      <c r="C6" s="94">
        <v>75000</v>
      </c>
      <c r="D6" s="99" t="s">
        <v>20</v>
      </c>
    </row>
    <row r="7" spans="1:4" ht="14.25" customHeight="1" x14ac:dyDescent="0.3">
      <c r="A7" s="103">
        <v>46177</v>
      </c>
      <c r="B7" s="99" t="s">
        <v>273</v>
      </c>
      <c r="C7" s="94">
        <v>77500</v>
      </c>
      <c r="D7" s="99" t="s">
        <v>20</v>
      </c>
    </row>
    <row r="8" spans="1:4" ht="14.25" customHeight="1" x14ac:dyDescent="0.3">
      <c r="A8" s="103">
        <v>46177</v>
      </c>
      <c r="B8" s="99" t="s">
        <v>274</v>
      </c>
      <c r="C8" s="94">
        <v>66500</v>
      </c>
      <c r="D8" s="99" t="s">
        <v>20</v>
      </c>
    </row>
    <row r="9" spans="1:4" ht="14.25" customHeight="1" x14ac:dyDescent="0.3">
      <c r="A9" s="103">
        <v>46181</v>
      </c>
      <c r="B9" s="99" t="s">
        <v>275</v>
      </c>
      <c r="C9" s="94">
        <v>80000</v>
      </c>
      <c r="D9" s="99" t="s">
        <v>20</v>
      </c>
    </row>
    <row r="10" spans="1:4" ht="14.25" customHeight="1" x14ac:dyDescent="0.3">
      <c r="A10" s="103">
        <v>46181</v>
      </c>
      <c r="B10" s="99" t="s">
        <v>276</v>
      </c>
      <c r="C10" s="94">
        <v>112500</v>
      </c>
      <c r="D10" s="99" t="s">
        <v>20</v>
      </c>
    </row>
    <row r="11" spans="1:4" ht="14.25" customHeight="1" x14ac:dyDescent="0.3">
      <c r="A11" s="103">
        <v>46183</v>
      </c>
      <c r="B11" s="99" t="s">
        <v>277</v>
      </c>
      <c r="C11" s="94">
        <v>6000</v>
      </c>
      <c r="D11" s="99" t="s">
        <v>20</v>
      </c>
    </row>
    <row r="12" spans="1:4" ht="14.25" customHeight="1" x14ac:dyDescent="0.3">
      <c r="A12" s="103">
        <v>46183</v>
      </c>
      <c r="B12" s="99" t="s">
        <v>278</v>
      </c>
      <c r="C12" s="94">
        <v>19215</v>
      </c>
      <c r="D12" s="99" t="s">
        <v>20</v>
      </c>
    </row>
    <row r="13" spans="1:4" ht="14.4" x14ac:dyDescent="0.3">
      <c r="A13" s="103">
        <v>46183</v>
      </c>
      <c r="B13" s="110" t="s">
        <v>283</v>
      </c>
      <c r="C13" s="94">
        <v>29819</v>
      </c>
      <c r="D13" s="99" t="s">
        <v>20</v>
      </c>
    </row>
    <row r="14" spans="1:4" ht="14.25" customHeight="1" x14ac:dyDescent="0.3">
      <c r="A14" s="103">
        <v>46184</v>
      </c>
      <c r="B14" s="99" t="s">
        <v>279</v>
      </c>
      <c r="C14" s="94">
        <v>15649</v>
      </c>
      <c r="D14" s="99" t="s">
        <v>20</v>
      </c>
    </row>
    <row r="15" spans="1:4" ht="14.25" customHeight="1" x14ac:dyDescent="0.3">
      <c r="A15" s="103">
        <v>46185</v>
      </c>
      <c r="B15" s="99" t="s">
        <v>280</v>
      </c>
      <c r="C15" s="94">
        <v>15000</v>
      </c>
      <c r="D15" s="99" t="s">
        <v>20</v>
      </c>
    </row>
    <row r="16" spans="1:4" ht="14.25" customHeight="1" x14ac:dyDescent="0.3">
      <c r="A16" s="103">
        <v>46185</v>
      </c>
      <c r="B16" s="111" t="s">
        <v>281</v>
      </c>
      <c r="C16" s="94">
        <v>38000</v>
      </c>
      <c r="D16" s="99" t="s">
        <v>20</v>
      </c>
    </row>
    <row r="17" spans="1:14" ht="14.25" customHeight="1" x14ac:dyDescent="0.3">
      <c r="A17" s="106">
        <v>46188</v>
      </c>
      <c r="B17" s="107" t="s">
        <v>282</v>
      </c>
      <c r="C17" s="94">
        <v>21000</v>
      </c>
      <c r="D17" s="99" t="s">
        <v>20</v>
      </c>
    </row>
    <row r="18" spans="1:14" ht="28.8" x14ac:dyDescent="0.3">
      <c r="A18" s="106">
        <v>46188</v>
      </c>
      <c r="B18" s="107" t="s">
        <v>297</v>
      </c>
      <c r="C18" s="94">
        <v>39800</v>
      </c>
      <c r="D18" s="99" t="s">
        <v>20</v>
      </c>
    </row>
    <row r="19" spans="1:14" ht="14.25" customHeight="1" x14ac:dyDescent="0.3">
      <c r="A19" s="103">
        <v>46188</v>
      </c>
      <c r="B19" s="99" t="s">
        <v>288</v>
      </c>
      <c r="C19" s="94">
        <v>8496.3700000000008</v>
      </c>
      <c r="D19" s="99" t="s">
        <v>20</v>
      </c>
    </row>
    <row r="20" spans="1:14" ht="14.25" customHeight="1" x14ac:dyDescent="0.3">
      <c r="A20" s="103">
        <v>46190</v>
      </c>
      <c r="B20" s="99" t="s">
        <v>289</v>
      </c>
      <c r="C20" s="94">
        <v>15000</v>
      </c>
      <c r="D20" s="99" t="s">
        <v>20</v>
      </c>
    </row>
    <row r="21" spans="1:14" ht="14.25" customHeight="1" x14ac:dyDescent="0.3">
      <c r="A21" s="103">
        <v>46195</v>
      </c>
      <c r="B21" s="99" t="s">
        <v>291</v>
      </c>
      <c r="C21" s="94">
        <v>10500</v>
      </c>
      <c r="D21" s="99" t="s">
        <v>20</v>
      </c>
    </row>
    <row r="22" spans="1:14" ht="14.25" customHeight="1" x14ac:dyDescent="0.3">
      <c r="A22" s="103">
        <v>46195</v>
      </c>
      <c r="B22" s="99" t="s">
        <v>291</v>
      </c>
      <c r="C22" s="94">
        <v>50000</v>
      </c>
      <c r="D22" s="99" t="s">
        <v>20</v>
      </c>
    </row>
    <row r="23" spans="1:14" ht="14.25" customHeight="1" x14ac:dyDescent="0.3">
      <c r="A23" s="159">
        <v>46195</v>
      </c>
      <c r="B23" s="99" t="s">
        <v>292</v>
      </c>
      <c r="C23" s="94">
        <v>44100</v>
      </c>
      <c r="D23" s="99" t="s">
        <v>20</v>
      </c>
    </row>
    <row r="24" spans="1:14" ht="14.25" customHeight="1" x14ac:dyDescent="0.3">
      <c r="A24" s="103">
        <v>46195</v>
      </c>
      <c r="B24" s="99" t="s">
        <v>293</v>
      </c>
      <c r="C24" s="94">
        <v>6000</v>
      </c>
      <c r="D24" s="99" t="s">
        <v>20</v>
      </c>
    </row>
    <row r="25" spans="1:14" ht="14.25" customHeight="1" x14ac:dyDescent="0.3">
      <c r="A25" s="103">
        <v>46198</v>
      </c>
      <c r="B25" s="99" t="s">
        <v>294</v>
      </c>
      <c r="C25" s="94">
        <v>432141</v>
      </c>
      <c r="D25" s="99" t="s">
        <v>20</v>
      </c>
    </row>
    <row r="26" spans="1:14" ht="14.25" customHeight="1" x14ac:dyDescent="0.3">
      <c r="A26" s="103">
        <v>46199</v>
      </c>
      <c r="B26" s="104" t="s">
        <v>295</v>
      </c>
      <c r="C26" s="94">
        <v>15000</v>
      </c>
      <c r="D26" s="99" t="s">
        <v>20</v>
      </c>
    </row>
    <row r="27" spans="1:14" ht="14.25" customHeight="1" x14ac:dyDescent="0.3">
      <c r="A27" s="103">
        <v>46199</v>
      </c>
      <c r="B27" s="99" t="s">
        <v>296</v>
      </c>
      <c r="C27" s="94">
        <v>38186</v>
      </c>
      <c r="D27" s="99" t="s">
        <v>20</v>
      </c>
    </row>
    <row r="28" spans="1:14" ht="14.25" customHeight="1" x14ac:dyDescent="0.3">
      <c r="A28" s="103">
        <v>46203</v>
      </c>
      <c r="B28" s="99" t="s">
        <v>248</v>
      </c>
      <c r="C28" s="94">
        <v>173827.33</v>
      </c>
      <c r="D28" s="99" t="s">
        <v>20</v>
      </c>
    </row>
    <row r="29" spans="1:14" ht="14.25" customHeight="1" x14ac:dyDescent="0.3">
      <c r="A29" s="103">
        <v>46176</v>
      </c>
      <c r="B29" s="107" t="s">
        <v>298</v>
      </c>
      <c r="C29" s="94">
        <v>8000</v>
      </c>
      <c r="D29" s="99" t="s">
        <v>20</v>
      </c>
    </row>
    <row r="30" spans="1:14" ht="14.25" customHeight="1" x14ac:dyDescent="0.3">
      <c r="A30" s="103"/>
      <c r="B30" s="99"/>
      <c r="C30" s="94"/>
      <c r="D30" s="99"/>
      <c r="L30" s="80" t="s">
        <v>42</v>
      </c>
      <c r="M30" s="80" t="s">
        <v>45</v>
      </c>
      <c r="N30" s="80" t="s">
        <v>107</v>
      </c>
    </row>
    <row r="31" spans="1:14" ht="14.25" customHeight="1" x14ac:dyDescent="0.3">
      <c r="A31" s="103"/>
      <c r="B31" s="99"/>
      <c r="C31" s="94"/>
      <c r="D31" s="99"/>
      <c r="L31" s="79">
        <f>SUMIF(D4:D71,"N",C4:C71)</f>
        <v>1663179.09</v>
      </c>
      <c r="M31" s="79">
        <f>SUMIF(D4:D71,"D",C4:C71)</f>
        <v>0</v>
      </c>
      <c r="N31" s="79">
        <v>33504000</v>
      </c>
    </row>
    <row r="32" spans="1:14" ht="14.25" customHeight="1" x14ac:dyDescent="0.3">
      <c r="A32" s="103"/>
      <c r="B32" s="99"/>
      <c r="C32" s="94"/>
      <c r="D32" s="99"/>
    </row>
    <row r="33" spans="1:4" ht="14.25" customHeight="1" x14ac:dyDescent="0.3">
      <c r="A33" s="103"/>
      <c r="B33" s="99"/>
      <c r="C33" s="94"/>
      <c r="D33" s="99"/>
    </row>
    <row r="34" spans="1:4" ht="14.4" x14ac:dyDescent="0.3">
      <c r="A34" s="106"/>
      <c r="B34" s="107"/>
      <c r="C34" s="94"/>
      <c r="D34" s="99"/>
    </row>
    <row r="35" spans="1:4" ht="14.25" customHeight="1" x14ac:dyDescent="0.3">
      <c r="A35" s="103"/>
      <c r="B35" s="99"/>
      <c r="C35" s="94"/>
      <c r="D35" s="99"/>
    </row>
    <row r="36" spans="1:4" ht="14.25" customHeight="1" x14ac:dyDescent="0.3">
      <c r="A36" s="103"/>
      <c r="B36" s="99"/>
      <c r="C36" s="94"/>
      <c r="D36" s="99"/>
    </row>
    <row r="37" spans="1:4" ht="14.25" customHeight="1" x14ac:dyDescent="0.3">
      <c r="A37" s="105"/>
      <c r="B37" s="108"/>
      <c r="C37" s="109"/>
      <c r="D37" s="101"/>
    </row>
    <row r="38" spans="1:4" ht="14.25" customHeight="1" x14ac:dyDescent="0.3">
      <c r="A38" s="75"/>
      <c r="C38" s="94"/>
    </row>
    <row r="39" spans="1:4" ht="14.25" customHeight="1" x14ac:dyDescent="0.3">
      <c r="A39" s="75"/>
      <c r="C39" s="96"/>
    </row>
    <row r="40" spans="1:4" ht="14.25" customHeight="1" x14ac:dyDescent="0.3">
      <c r="A40" s="75"/>
      <c r="C40" s="94"/>
    </row>
    <row r="41" spans="1:4" ht="14.25" customHeight="1" x14ac:dyDescent="0.3">
      <c r="A41" s="75"/>
      <c r="C41" s="94"/>
    </row>
    <row r="42" spans="1:4" ht="14.25" customHeight="1" x14ac:dyDescent="0.3">
      <c r="A42" s="75"/>
      <c r="C42" s="94"/>
    </row>
    <row r="43" spans="1:4" ht="14.25" customHeight="1" x14ac:dyDescent="0.3">
      <c r="A43" s="75"/>
      <c r="C43" s="94"/>
    </row>
    <row r="44" spans="1:4" ht="14.25" customHeight="1" x14ac:dyDescent="0.3">
      <c r="A44" s="75"/>
      <c r="B44" s="27"/>
      <c r="C44" s="94"/>
    </row>
    <row r="45" spans="1:4" ht="14.25" customHeight="1" x14ac:dyDescent="0.3">
      <c r="A45" s="75"/>
      <c r="B45" s="27"/>
      <c r="C45" s="94"/>
    </row>
    <row r="46" spans="1:4" ht="14.25" customHeight="1" x14ac:dyDescent="0.3">
      <c r="A46" s="75"/>
      <c r="C46" s="94"/>
    </row>
    <row r="47" spans="1:4" ht="14.25" customHeight="1" x14ac:dyDescent="0.3">
      <c r="A47" s="75"/>
      <c r="C47" s="94"/>
    </row>
    <row r="48" spans="1:4" ht="14.25" customHeight="1" x14ac:dyDescent="0.3">
      <c r="A48" s="75"/>
      <c r="B48" s="27"/>
      <c r="C48" s="94"/>
    </row>
    <row r="49" spans="1:3" ht="14.25" customHeight="1" x14ac:dyDescent="0.3">
      <c r="A49" s="91"/>
      <c r="C49" s="97"/>
    </row>
    <row r="50" spans="1:3" ht="14.25" customHeight="1" x14ac:dyDescent="0.3">
      <c r="A50" s="91"/>
      <c r="C50" s="97"/>
    </row>
    <row r="51" spans="1:3" ht="14.25" customHeight="1" x14ac:dyDescent="0.3">
      <c r="A51" s="91"/>
      <c r="C51" s="97"/>
    </row>
    <row r="52" spans="1:3" ht="14.25" customHeight="1" x14ac:dyDescent="0.3">
      <c r="A52" s="91"/>
      <c r="C52" s="97"/>
    </row>
    <row r="53" spans="1:3" ht="14.25" customHeight="1" x14ac:dyDescent="0.3">
      <c r="A53" s="91"/>
      <c r="C53" s="97"/>
    </row>
    <row r="54" spans="1:3" ht="14.25" customHeight="1" x14ac:dyDescent="0.3">
      <c r="A54" s="98"/>
      <c r="B54" s="99"/>
      <c r="C54" s="94"/>
    </row>
    <row r="55" spans="1:3" ht="14.25" customHeight="1" x14ac:dyDescent="0.3">
      <c r="A55" s="91"/>
      <c r="B55" s="27"/>
      <c r="C55" s="97"/>
    </row>
    <row r="56" spans="1:3" ht="14.4" x14ac:dyDescent="0.3">
      <c r="A56" s="91"/>
      <c r="B56" s="102"/>
      <c r="C56" s="97"/>
    </row>
    <row r="57" spans="1:3" ht="14.25" customHeight="1" x14ac:dyDescent="0.3">
      <c r="A57" s="91"/>
      <c r="B57" s="101"/>
      <c r="C57" s="97"/>
    </row>
    <row r="58" spans="1:3" ht="14.25" customHeight="1" x14ac:dyDescent="0.3">
      <c r="A58" s="91"/>
      <c r="C58" s="97"/>
    </row>
    <row r="59" spans="1:3" ht="14.25" customHeight="1" x14ac:dyDescent="0.3">
      <c r="A59" s="91"/>
      <c r="C59" s="97"/>
    </row>
    <row r="60" spans="1:3" ht="14.25" customHeight="1" x14ac:dyDescent="0.3">
      <c r="A60" s="91"/>
      <c r="C60" s="97"/>
    </row>
    <row r="61" spans="1:3" ht="14.25" customHeight="1" x14ac:dyDescent="0.3">
      <c r="A61" s="91"/>
      <c r="C61" s="97"/>
    </row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1">
    <mergeCell ref="A1:C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C7E2-CD9A-47F1-ACB0-F1B2382FDCA3}">
  <sheetPr>
    <tabColor rgb="FFFF0000"/>
  </sheetPr>
  <dimension ref="A1:N1002"/>
  <sheetViews>
    <sheetView zoomScale="58" zoomScaleNormal="85" workbookViewId="0">
      <selection activeCell="A14" sqref="A14"/>
    </sheetView>
  </sheetViews>
  <sheetFormatPr defaultColWidth="14.44140625" defaultRowHeight="15" customHeight="1" x14ac:dyDescent="0.3"/>
  <cols>
    <col min="1" max="1" width="11.5546875" bestFit="1" customWidth="1"/>
    <col min="2" max="2" width="58.77734375" bestFit="1" customWidth="1"/>
    <col min="3" max="3" width="26.6640625" customWidth="1"/>
    <col min="4" max="4" width="10.6640625" customWidth="1"/>
    <col min="5" max="11" width="8.6640625" customWidth="1"/>
    <col min="12" max="12" width="20.6640625" customWidth="1"/>
    <col min="13" max="13" width="24" customWidth="1"/>
    <col min="14" max="14" width="34.6640625" customWidth="1"/>
    <col min="15" max="26" width="8.6640625" customWidth="1"/>
  </cols>
  <sheetData>
    <row r="1" spans="1:5" ht="28.8" x14ac:dyDescent="0.55000000000000004">
      <c r="A1" s="158" t="s">
        <v>100</v>
      </c>
      <c r="B1" s="156"/>
      <c r="C1" s="156"/>
    </row>
    <row r="2" spans="1:5" ht="14.25" customHeight="1" x14ac:dyDescent="0.3"/>
    <row r="3" spans="1:5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5" ht="21" customHeight="1" x14ac:dyDescent="0.3">
      <c r="A4" s="103">
        <v>46146</v>
      </c>
      <c r="B4" s="104" t="s">
        <v>250</v>
      </c>
      <c r="C4" s="94">
        <v>70000</v>
      </c>
      <c r="D4" s="99" t="s">
        <v>20</v>
      </c>
    </row>
    <row r="5" spans="1:5" ht="21" customHeight="1" x14ac:dyDescent="0.3">
      <c r="A5" s="103">
        <v>46146</v>
      </c>
      <c r="B5" s="104" t="s">
        <v>251</v>
      </c>
      <c r="C5" s="94">
        <v>30000</v>
      </c>
      <c r="D5" s="99" t="s">
        <v>20</v>
      </c>
    </row>
    <row r="6" spans="1:5" ht="21" customHeight="1" x14ac:dyDescent="0.3">
      <c r="A6" s="103">
        <v>46146</v>
      </c>
      <c r="B6" s="104" t="s">
        <v>306</v>
      </c>
      <c r="C6" s="94">
        <v>90000</v>
      </c>
      <c r="D6" s="99" t="s">
        <v>20</v>
      </c>
    </row>
    <row r="7" spans="1:5" ht="14.25" customHeight="1" x14ac:dyDescent="0.3">
      <c r="A7" s="103">
        <v>46146</v>
      </c>
      <c r="B7" s="99" t="s">
        <v>261</v>
      </c>
      <c r="C7" s="94">
        <v>90000</v>
      </c>
      <c r="D7" s="99" t="s">
        <v>20</v>
      </c>
      <c r="E7" t="s">
        <v>307</v>
      </c>
    </row>
    <row r="8" spans="1:5" ht="14.25" customHeight="1" x14ac:dyDescent="0.3">
      <c r="A8" s="103">
        <v>46146</v>
      </c>
      <c r="B8" s="99" t="s">
        <v>257</v>
      </c>
      <c r="C8" s="94">
        <v>200000</v>
      </c>
      <c r="D8" s="99" t="s">
        <v>20</v>
      </c>
      <c r="E8" t="s">
        <v>307</v>
      </c>
    </row>
    <row r="9" spans="1:5" ht="14.25" customHeight="1" x14ac:dyDescent="0.3">
      <c r="A9" s="103">
        <v>46146</v>
      </c>
      <c r="B9" s="99" t="s">
        <v>253</v>
      </c>
      <c r="C9" s="94">
        <v>28075</v>
      </c>
      <c r="D9" s="99" t="s">
        <v>20</v>
      </c>
    </row>
    <row r="10" spans="1:5" ht="14.25" customHeight="1" x14ac:dyDescent="0.3">
      <c r="A10" s="103">
        <v>46146</v>
      </c>
      <c r="B10" s="99" t="s">
        <v>254</v>
      </c>
      <c r="C10" s="94">
        <v>35000</v>
      </c>
      <c r="D10" s="99" t="s">
        <v>20</v>
      </c>
    </row>
    <row r="11" spans="1:5" ht="14.25" customHeight="1" x14ac:dyDescent="0.3">
      <c r="A11" s="103">
        <v>46149</v>
      </c>
      <c r="B11" s="99" t="s">
        <v>144</v>
      </c>
      <c r="C11" s="94">
        <v>753612.17</v>
      </c>
      <c r="D11" s="99" t="s">
        <v>20</v>
      </c>
    </row>
    <row r="12" spans="1:5" ht="14.25" customHeight="1" x14ac:dyDescent="0.3">
      <c r="A12" s="103">
        <v>46154</v>
      </c>
      <c r="B12" s="99" t="s">
        <v>257</v>
      </c>
      <c r="C12" s="94">
        <v>3250000</v>
      </c>
      <c r="D12" s="99" t="s">
        <v>20</v>
      </c>
    </row>
    <row r="13" spans="1:5" ht="14.25" customHeight="1" x14ac:dyDescent="0.3">
      <c r="A13" s="103">
        <v>46154</v>
      </c>
      <c r="B13" s="99" t="s">
        <v>144</v>
      </c>
      <c r="C13" s="94">
        <v>826430</v>
      </c>
      <c r="D13" s="99" t="s">
        <v>20</v>
      </c>
    </row>
    <row r="14" spans="1:5" ht="14.4" x14ac:dyDescent="0.3">
      <c r="A14" s="159">
        <v>46154</v>
      </c>
      <c r="B14" s="110" t="s">
        <v>258</v>
      </c>
      <c r="C14" s="94">
        <v>61415</v>
      </c>
      <c r="D14" s="99" t="s">
        <v>20</v>
      </c>
    </row>
    <row r="15" spans="1:5" ht="14.25" customHeight="1" x14ac:dyDescent="0.3">
      <c r="A15" s="103">
        <v>46154</v>
      </c>
      <c r="B15" s="99" t="s">
        <v>259</v>
      </c>
      <c r="C15" s="94">
        <v>9000</v>
      </c>
      <c r="D15" s="99" t="s">
        <v>20</v>
      </c>
    </row>
    <row r="16" spans="1:5" ht="14.25" customHeight="1" x14ac:dyDescent="0.3">
      <c r="A16" s="103">
        <v>46154</v>
      </c>
      <c r="B16" s="99" t="s">
        <v>165</v>
      </c>
      <c r="C16" s="94">
        <v>46912</v>
      </c>
      <c r="D16" s="99" t="s">
        <v>20</v>
      </c>
    </row>
    <row r="17" spans="1:14" ht="14.25" customHeight="1" x14ac:dyDescent="0.3">
      <c r="A17" s="103">
        <v>46154</v>
      </c>
      <c r="B17" s="99" t="s">
        <v>260</v>
      </c>
      <c r="C17" s="94">
        <v>24462</v>
      </c>
      <c r="D17" s="99" t="s">
        <v>20</v>
      </c>
    </row>
    <row r="18" spans="1:14" ht="14.25" customHeight="1" x14ac:dyDescent="0.3">
      <c r="A18" s="103">
        <v>46155</v>
      </c>
      <c r="B18" t="s">
        <v>207</v>
      </c>
      <c r="C18" s="94">
        <v>2000000</v>
      </c>
      <c r="D18" s="99" t="s">
        <v>20</v>
      </c>
    </row>
    <row r="19" spans="1:14" ht="14.25" customHeight="1" x14ac:dyDescent="0.3">
      <c r="A19" s="106">
        <v>46156</v>
      </c>
      <c r="B19" s="107" t="s">
        <v>261</v>
      </c>
      <c r="C19" s="94">
        <v>30000</v>
      </c>
      <c r="D19" s="99" t="s">
        <v>20</v>
      </c>
    </row>
    <row r="20" spans="1:14" ht="14.25" customHeight="1" x14ac:dyDescent="0.3">
      <c r="A20" s="103">
        <v>46156</v>
      </c>
      <c r="B20" s="99" t="s">
        <v>207</v>
      </c>
      <c r="C20" s="94">
        <v>1002000</v>
      </c>
      <c r="D20" s="99" t="s">
        <v>20</v>
      </c>
    </row>
    <row r="21" spans="1:14" ht="14.25" customHeight="1" x14ac:dyDescent="0.3">
      <c r="A21" s="103">
        <v>46156</v>
      </c>
      <c r="B21" s="99" t="s">
        <v>144</v>
      </c>
      <c r="C21" s="94">
        <v>800000</v>
      </c>
      <c r="D21" s="99" t="s">
        <v>20</v>
      </c>
    </row>
    <row r="22" spans="1:14" ht="14.25" customHeight="1" x14ac:dyDescent="0.3">
      <c r="A22" s="103">
        <v>46157</v>
      </c>
      <c r="B22" s="99" t="s">
        <v>144</v>
      </c>
      <c r="C22" s="94">
        <v>810000</v>
      </c>
      <c r="D22" s="99" t="s">
        <v>20</v>
      </c>
    </row>
    <row r="23" spans="1:14" ht="14.25" customHeight="1" x14ac:dyDescent="0.3">
      <c r="A23" s="103">
        <v>46157</v>
      </c>
      <c r="B23" s="99" t="s">
        <v>230</v>
      </c>
      <c r="C23" s="94">
        <v>96000</v>
      </c>
      <c r="D23" s="99" t="s">
        <v>20</v>
      </c>
    </row>
    <row r="24" spans="1:14" ht="14.25" customHeight="1" x14ac:dyDescent="0.3">
      <c r="A24" s="103">
        <v>46157</v>
      </c>
      <c r="B24" s="99" t="s">
        <v>262</v>
      </c>
      <c r="C24" s="94">
        <v>386000</v>
      </c>
      <c r="D24" s="99" t="s">
        <v>20</v>
      </c>
    </row>
    <row r="25" spans="1:14" ht="14.25" customHeight="1" x14ac:dyDescent="0.3">
      <c r="A25" s="103">
        <v>46160</v>
      </c>
      <c r="B25" s="99" t="s">
        <v>207</v>
      </c>
      <c r="C25" s="94">
        <v>1000000</v>
      </c>
      <c r="D25" s="99" t="s">
        <v>20</v>
      </c>
    </row>
    <row r="26" spans="1:14" ht="14.25" customHeight="1" x14ac:dyDescent="0.3">
      <c r="A26" s="103">
        <v>46160</v>
      </c>
      <c r="B26" s="99" t="s">
        <v>232</v>
      </c>
      <c r="C26" s="94">
        <v>15000</v>
      </c>
      <c r="D26" s="99" t="s">
        <v>20</v>
      </c>
    </row>
    <row r="27" spans="1:14" ht="14.25" customHeight="1" x14ac:dyDescent="0.3">
      <c r="A27" s="103">
        <v>46160</v>
      </c>
      <c r="B27" s="104" t="s">
        <v>263</v>
      </c>
      <c r="C27" s="94">
        <v>50000</v>
      </c>
      <c r="D27" s="99" t="s">
        <v>20</v>
      </c>
    </row>
    <row r="28" spans="1:14" ht="14.25" customHeight="1" x14ac:dyDescent="0.3">
      <c r="A28" s="103">
        <v>46160</v>
      </c>
      <c r="B28" s="99" t="s">
        <v>264</v>
      </c>
      <c r="C28" s="94">
        <v>68000</v>
      </c>
      <c r="D28" s="99" t="s">
        <v>20</v>
      </c>
    </row>
    <row r="29" spans="1:14" ht="14.25" customHeight="1" x14ac:dyDescent="0.3">
      <c r="A29" s="103">
        <v>46160</v>
      </c>
      <c r="B29" s="99" t="s">
        <v>265</v>
      </c>
      <c r="C29" s="94">
        <v>156400</v>
      </c>
      <c r="D29" s="99" t="s">
        <v>20</v>
      </c>
    </row>
    <row r="30" spans="1:14" ht="14.25" customHeight="1" x14ac:dyDescent="0.3">
      <c r="A30" s="103">
        <v>46162</v>
      </c>
      <c r="B30" s="107" t="s">
        <v>206</v>
      </c>
      <c r="C30" s="94">
        <v>2150000</v>
      </c>
      <c r="D30" s="99" t="s">
        <v>20</v>
      </c>
    </row>
    <row r="31" spans="1:14" ht="14.25" customHeight="1" x14ac:dyDescent="0.3">
      <c r="A31" s="103">
        <v>46162</v>
      </c>
      <c r="B31" s="99" t="s">
        <v>230</v>
      </c>
      <c r="C31" s="94">
        <v>104000</v>
      </c>
      <c r="D31" s="99" t="s">
        <v>20</v>
      </c>
      <c r="L31" s="80" t="s">
        <v>42</v>
      </c>
      <c r="M31" s="80" t="s">
        <v>45</v>
      </c>
      <c r="N31" s="80" t="s">
        <v>107</v>
      </c>
    </row>
    <row r="32" spans="1:14" ht="14.25" customHeight="1" x14ac:dyDescent="0.3">
      <c r="A32" s="103">
        <v>46163</v>
      </c>
      <c r="B32" s="99" t="s">
        <v>266</v>
      </c>
      <c r="C32" s="94">
        <v>27500</v>
      </c>
      <c r="D32" s="99" t="s">
        <v>20</v>
      </c>
      <c r="L32" s="79">
        <f>SUMIF(D4:D72,"N",C4:C72)</f>
        <v>17142977.170000002</v>
      </c>
      <c r="M32" s="79">
        <f>SUMIF(D4:D72,"D",C4:C72)</f>
        <v>0</v>
      </c>
      <c r="N32" s="79">
        <v>33504000</v>
      </c>
    </row>
    <row r="33" spans="1:5" ht="14.25" customHeight="1" x14ac:dyDescent="0.3">
      <c r="A33" s="103">
        <v>46163</v>
      </c>
      <c r="B33" s="99" t="s">
        <v>267</v>
      </c>
      <c r="C33" s="94">
        <v>12000</v>
      </c>
      <c r="D33" s="99" t="s">
        <v>20</v>
      </c>
    </row>
    <row r="34" spans="1:5" ht="14.25" customHeight="1" x14ac:dyDescent="0.3">
      <c r="A34" s="103">
        <v>46164</v>
      </c>
      <c r="B34" s="99" t="s">
        <v>144</v>
      </c>
      <c r="C34" s="94">
        <v>1549000</v>
      </c>
      <c r="D34" s="99" t="s">
        <v>20</v>
      </c>
    </row>
    <row r="35" spans="1:5" ht="28.8" x14ac:dyDescent="0.3">
      <c r="A35" s="106">
        <v>46164</v>
      </c>
      <c r="B35" s="107" t="s">
        <v>268</v>
      </c>
      <c r="C35" s="94">
        <v>542750</v>
      </c>
      <c r="D35" s="99" t="s">
        <v>20</v>
      </c>
    </row>
    <row r="36" spans="1:5" ht="14.25" customHeight="1" x14ac:dyDescent="0.3">
      <c r="A36" s="103">
        <v>46167</v>
      </c>
      <c r="B36" s="99" t="s">
        <v>269</v>
      </c>
      <c r="C36" s="94">
        <v>148225</v>
      </c>
      <c r="D36" s="99" t="s">
        <v>20</v>
      </c>
    </row>
    <row r="37" spans="1:5" ht="14.25" customHeight="1" x14ac:dyDescent="0.3">
      <c r="A37" s="103">
        <v>46168</v>
      </c>
      <c r="B37" s="99" t="s">
        <v>265</v>
      </c>
      <c r="C37" s="94">
        <v>506500</v>
      </c>
      <c r="D37" s="99" t="s">
        <v>20</v>
      </c>
    </row>
    <row r="38" spans="1:5" ht="14.25" customHeight="1" x14ac:dyDescent="0.3">
      <c r="A38" s="105">
        <v>46156</v>
      </c>
      <c r="B38" s="108" t="s">
        <v>252</v>
      </c>
      <c r="C38" s="109">
        <v>166200</v>
      </c>
      <c r="D38" s="101" t="s">
        <v>20</v>
      </c>
      <c r="E38" s="125" t="s">
        <v>307</v>
      </c>
    </row>
    <row r="39" spans="1:5" ht="14.25" customHeight="1" x14ac:dyDescent="0.3">
      <c r="A39" s="75">
        <v>46157</v>
      </c>
      <c r="B39" s="101" t="s">
        <v>308</v>
      </c>
      <c r="C39" s="94">
        <v>8496</v>
      </c>
      <c r="D39" s="101" t="s">
        <v>20</v>
      </c>
      <c r="E39" t="s">
        <v>307</v>
      </c>
    </row>
    <row r="40" spans="1:5" ht="14.25" customHeight="1" x14ac:dyDescent="0.3">
      <c r="A40" s="75"/>
      <c r="B40" s="101"/>
      <c r="C40" s="96"/>
      <c r="D40" s="101"/>
    </row>
    <row r="41" spans="1:5" ht="14.25" customHeight="1" x14ac:dyDescent="0.3">
      <c r="A41" s="75"/>
      <c r="C41" s="94"/>
    </row>
    <row r="42" spans="1:5" ht="14.25" customHeight="1" x14ac:dyDescent="0.3">
      <c r="A42" s="75"/>
      <c r="C42" s="94"/>
    </row>
    <row r="43" spans="1:5" ht="14.25" customHeight="1" x14ac:dyDescent="0.3">
      <c r="A43" s="75"/>
      <c r="C43" s="94"/>
    </row>
    <row r="44" spans="1:5" ht="14.25" customHeight="1" x14ac:dyDescent="0.3">
      <c r="A44" s="75"/>
      <c r="C44" s="94"/>
    </row>
    <row r="45" spans="1:5" ht="14.25" customHeight="1" x14ac:dyDescent="0.3">
      <c r="A45" s="75"/>
      <c r="B45" s="27"/>
      <c r="C45" s="94"/>
    </row>
    <row r="46" spans="1:5" ht="14.25" customHeight="1" x14ac:dyDescent="0.3">
      <c r="A46" s="75"/>
      <c r="B46" s="27"/>
      <c r="C46" s="94"/>
    </row>
    <row r="47" spans="1:5" ht="14.25" customHeight="1" x14ac:dyDescent="0.3">
      <c r="A47" s="75"/>
      <c r="C47" s="94"/>
    </row>
    <row r="48" spans="1:5" ht="14.25" customHeight="1" x14ac:dyDescent="0.3">
      <c r="A48" s="75"/>
      <c r="C48" s="94"/>
    </row>
    <row r="49" spans="1:3" ht="14.25" customHeight="1" x14ac:dyDescent="0.3">
      <c r="A49" s="75"/>
      <c r="B49" s="27"/>
      <c r="C49" s="94"/>
    </row>
    <row r="50" spans="1:3" ht="14.25" customHeight="1" x14ac:dyDescent="0.3">
      <c r="A50" s="91"/>
      <c r="C50" s="97"/>
    </row>
    <row r="51" spans="1:3" ht="14.25" customHeight="1" x14ac:dyDescent="0.3">
      <c r="A51" s="91"/>
      <c r="C51" s="97"/>
    </row>
    <row r="52" spans="1:3" ht="14.25" customHeight="1" x14ac:dyDescent="0.3">
      <c r="A52" s="91"/>
      <c r="C52" s="97"/>
    </row>
    <row r="53" spans="1:3" ht="14.25" customHeight="1" x14ac:dyDescent="0.3">
      <c r="A53" s="91"/>
      <c r="C53" s="97"/>
    </row>
    <row r="54" spans="1:3" ht="14.25" customHeight="1" x14ac:dyDescent="0.3">
      <c r="A54" s="91"/>
      <c r="C54" s="97"/>
    </row>
    <row r="55" spans="1:3" ht="14.25" customHeight="1" x14ac:dyDescent="0.3">
      <c r="A55" s="98"/>
      <c r="B55" s="99"/>
      <c r="C55" s="94"/>
    </row>
    <row r="56" spans="1:3" ht="14.25" customHeight="1" x14ac:dyDescent="0.3">
      <c r="A56" s="91"/>
      <c r="B56" s="27"/>
      <c r="C56" s="97"/>
    </row>
    <row r="57" spans="1:3" ht="14.4" x14ac:dyDescent="0.3">
      <c r="A57" s="91"/>
      <c r="B57" s="102"/>
      <c r="C57" s="97"/>
    </row>
    <row r="58" spans="1:3" ht="14.25" customHeight="1" x14ac:dyDescent="0.3">
      <c r="A58" s="91"/>
      <c r="B58" s="101"/>
      <c r="C58" s="97"/>
    </row>
    <row r="59" spans="1:3" ht="14.25" customHeight="1" x14ac:dyDescent="0.3">
      <c r="A59" s="91"/>
      <c r="C59" s="97"/>
    </row>
    <row r="60" spans="1:3" ht="14.25" customHeight="1" x14ac:dyDescent="0.3">
      <c r="A60" s="91"/>
      <c r="C60" s="97"/>
    </row>
    <row r="61" spans="1:3" ht="14.25" customHeight="1" x14ac:dyDescent="0.3">
      <c r="A61" s="91"/>
      <c r="C61" s="97"/>
    </row>
    <row r="62" spans="1:3" ht="14.25" customHeight="1" x14ac:dyDescent="0.3">
      <c r="A62" s="91"/>
      <c r="C62" s="97"/>
    </row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1">
    <mergeCell ref="A1:C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1000"/>
  <sheetViews>
    <sheetView tabSelected="1" zoomScale="86" zoomScaleNormal="85" workbookViewId="0">
      <selection activeCell="C11" sqref="C11"/>
    </sheetView>
  </sheetViews>
  <sheetFormatPr defaultColWidth="14.44140625" defaultRowHeight="15" customHeight="1" x14ac:dyDescent="0.3"/>
  <cols>
    <col min="1" max="1" width="10.88671875" customWidth="1"/>
    <col min="2" max="2" width="58.77734375" bestFit="1" customWidth="1"/>
    <col min="3" max="3" width="26.6640625" customWidth="1"/>
    <col min="4" max="4" width="10.6640625" customWidth="1"/>
    <col min="5" max="11" width="8.6640625" customWidth="1"/>
    <col min="12" max="12" width="20.6640625" customWidth="1"/>
    <col min="13" max="13" width="24" customWidth="1"/>
    <col min="14" max="14" width="34.6640625" customWidth="1"/>
    <col min="15" max="26" width="8.6640625" customWidth="1"/>
  </cols>
  <sheetData>
    <row r="1" spans="1:4" ht="28.8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75">
        <v>46113</v>
      </c>
      <c r="B4" s="27" t="s">
        <v>101</v>
      </c>
      <c r="C4" s="81">
        <v>312684</v>
      </c>
      <c r="D4" s="27" t="s">
        <v>20</v>
      </c>
    </row>
    <row r="5" spans="1:4" ht="21" customHeight="1" x14ac:dyDescent="0.3">
      <c r="A5" s="75">
        <v>46113</v>
      </c>
      <c r="B5" s="27" t="s">
        <v>102</v>
      </c>
      <c r="C5" s="81">
        <v>395172</v>
      </c>
      <c r="D5" s="27" t="s">
        <v>16</v>
      </c>
    </row>
    <row r="6" spans="1:4" ht="14.25" customHeight="1" x14ac:dyDescent="0.3">
      <c r="A6" s="160">
        <v>46114</v>
      </c>
      <c r="B6" s="27" t="s">
        <v>103</v>
      </c>
      <c r="C6" s="81">
        <v>193029.52</v>
      </c>
      <c r="D6" s="27" t="s">
        <v>20</v>
      </c>
    </row>
    <row r="7" spans="1:4" ht="14.25" customHeight="1" x14ac:dyDescent="0.3">
      <c r="A7" s="82">
        <v>46114</v>
      </c>
      <c r="B7" s="83" t="s">
        <v>104</v>
      </c>
      <c r="C7" s="81">
        <v>250000</v>
      </c>
      <c r="D7" s="27" t="s">
        <v>20</v>
      </c>
    </row>
    <row r="8" spans="1:4" ht="14.25" customHeight="1" x14ac:dyDescent="0.3">
      <c r="A8" s="75">
        <v>46114</v>
      </c>
      <c r="B8" s="27" t="s">
        <v>101</v>
      </c>
      <c r="C8" s="81">
        <v>750000</v>
      </c>
      <c r="D8" s="27" t="s">
        <v>20</v>
      </c>
    </row>
    <row r="9" spans="1:4" ht="14.25" customHeight="1" x14ac:dyDescent="0.3">
      <c r="A9" s="75">
        <v>46115</v>
      </c>
      <c r="B9" s="27" t="s">
        <v>101</v>
      </c>
      <c r="C9" s="81">
        <v>150008.38</v>
      </c>
      <c r="D9" s="27" t="s">
        <v>20</v>
      </c>
    </row>
    <row r="10" spans="1:4" ht="14.25" customHeight="1" x14ac:dyDescent="0.3">
      <c r="A10" s="75">
        <v>46115</v>
      </c>
      <c r="B10" s="27" t="s">
        <v>105</v>
      </c>
      <c r="C10" s="81">
        <v>300000</v>
      </c>
      <c r="D10" s="27" t="s">
        <v>16</v>
      </c>
    </row>
    <row r="11" spans="1:4" ht="14.25" customHeight="1" x14ac:dyDescent="0.3">
      <c r="A11" s="75">
        <v>46118</v>
      </c>
      <c r="B11" s="27" t="s">
        <v>106</v>
      </c>
      <c r="C11" s="81">
        <v>500000</v>
      </c>
      <c r="D11" s="27" t="s">
        <v>16</v>
      </c>
    </row>
    <row r="12" spans="1:4" ht="14.25" customHeight="1" x14ac:dyDescent="0.3">
      <c r="A12" s="75">
        <v>46119</v>
      </c>
      <c r="B12" t="s">
        <v>144</v>
      </c>
      <c r="C12" s="81">
        <v>1000000</v>
      </c>
      <c r="D12" t="s">
        <v>20</v>
      </c>
    </row>
    <row r="13" spans="1:4" ht="14.25" customHeight="1" x14ac:dyDescent="0.3">
      <c r="A13" s="75">
        <v>46119</v>
      </c>
      <c r="B13" t="s">
        <v>206</v>
      </c>
      <c r="C13" s="81">
        <v>599000</v>
      </c>
      <c r="D13" t="s">
        <v>20</v>
      </c>
    </row>
    <row r="14" spans="1:4" ht="14.25" customHeight="1" x14ac:dyDescent="0.3">
      <c r="A14" s="75">
        <v>46119</v>
      </c>
      <c r="B14" t="s">
        <v>207</v>
      </c>
      <c r="C14" s="81">
        <v>300000</v>
      </c>
      <c r="D14" t="s">
        <v>16</v>
      </c>
    </row>
    <row r="15" spans="1:4" ht="14.25" customHeight="1" x14ac:dyDescent="0.3">
      <c r="A15" s="75">
        <v>46120</v>
      </c>
      <c r="B15" t="s">
        <v>105</v>
      </c>
      <c r="C15" s="81">
        <v>600000</v>
      </c>
      <c r="D15" t="s">
        <v>16</v>
      </c>
    </row>
    <row r="16" spans="1:4" ht="14.25" customHeight="1" x14ac:dyDescent="0.3">
      <c r="A16" s="75">
        <v>46121</v>
      </c>
      <c r="B16" t="s">
        <v>144</v>
      </c>
      <c r="C16" s="81">
        <v>500000</v>
      </c>
      <c r="D16" t="s">
        <v>20</v>
      </c>
    </row>
    <row r="17" spans="1:14" ht="14.25" customHeight="1" x14ac:dyDescent="0.3">
      <c r="A17" s="84">
        <v>46121</v>
      </c>
      <c r="B17" s="85" t="s">
        <v>206</v>
      </c>
      <c r="C17" s="81">
        <v>200000</v>
      </c>
      <c r="D17" t="s">
        <v>20</v>
      </c>
    </row>
    <row r="18" spans="1:14" ht="14.25" customHeight="1" x14ac:dyDescent="0.3">
      <c r="A18" s="75">
        <v>46121</v>
      </c>
      <c r="B18" t="s">
        <v>211</v>
      </c>
      <c r="C18" s="81">
        <v>20000</v>
      </c>
      <c r="D18" t="s">
        <v>20</v>
      </c>
    </row>
    <row r="19" spans="1:14" ht="14.25" customHeight="1" x14ac:dyDescent="0.3">
      <c r="A19" s="75">
        <v>46122</v>
      </c>
      <c r="B19" t="s">
        <v>212</v>
      </c>
      <c r="C19" s="81">
        <v>5500</v>
      </c>
      <c r="D19" t="s">
        <v>20</v>
      </c>
    </row>
    <row r="20" spans="1:14" ht="14.25" customHeight="1" x14ac:dyDescent="0.3">
      <c r="A20" s="75">
        <v>46122</v>
      </c>
      <c r="B20" t="s">
        <v>213</v>
      </c>
      <c r="C20" s="81">
        <v>1000</v>
      </c>
      <c r="D20" t="s">
        <v>20</v>
      </c>
    </row>
    <row r="21" spans="1:14" ht="14.25" customHeight="1" x14ac:dyDescent="0.3">
      <c r="A21" s="75">
        <v>46122</v>
      </c>
      <c r="B21" t="s">
        <v>144</v>
      </c>
      <c r="C21" s="81">
        <v>199000</v>
      </c>
      <c r="D21" t="s">
        <v>20</v>
      </c>
    </row>
    <row r="22" spans="1:14" ht="14.25" customHeight="1" x14ac:dyDescent="0.3">
      <c r="A22" s="75">
        <v>46125</v>
      </c>
      <c r="B22" t="s">
        <v>207</v>
      </c>
      <c r="C22" s="81">
        <v>300000</v>
      </c>
      <c r="D22" t="s">
        <v>16</v>
      </c>
    </row>
    <row r="23" spans="1:14" ht="14.25" customHeight="1" x14ac:dyDescent="0.3">
      <c r="A23" s="75">
        <v>46125</v>
      </c>
      <c r="B23" t="s">
        <v>207</v>
      </c>
      <c r="C23" s="81">
        <v>150000</v>
      </c>
      <c r="D23" t="s">
        <v>16</v>
      </c>
    </row>
    <row r="24" spans="1:14" ht="14.25" customHeight="1" x14ac:dyDescent="0.3">
      <c r="A24" s="75">
        <v>46125</v>
      </c>
      <c r="B24" t="s">
        <v>214</v>
      </c>
      <c r="C24" s="81">
        <v>24104</v>
      </c>
      <c r="D24" t="s">
        <v>20</v>
      </c>
    </row>
    <row r="25" spans="1:14" ht="14.25" customHeight="1" x14ac:dyDescent="0.3">
      <c r="A25" s="75">
        <v>46125</v>
      </c>
      <c r="B25" t="s">
        <v>215</v>
      </c>
      <c r="C25" s="81">
        <v>1808.37</v>
      </c>
      <c r="D25" t="s">
        <v>20</v>
      </c>
    </row>
    <row r="26" spans="1:14" ht="14.25" customHeight="1" x14ac:dyDescent="0.3">
      <c r="A26" s="75">
        <v>46126</v>
      </c>
      <c r="B26" t="s">
        <v>206</v>
      </c>
      <c r="C26" s="81">
        <v>500000</v>
      </c>
      <c r="D26" t="s">
        <v>20</v>
      </c>
    </row>
    <row r="27" spans="1:14" ht="14.25" customHeight="1" x14ac:dyDescent="0.3">
      <c r="A27" s="75">
        <v>46126</v>
      </c>
      <c r="B27" t="s">
        <v>216</v>
      </c>
      <c r="C27" s="81">
        <v>205000</v>
      </c>
      <c r="D27" t="s">
        <v>16</v>
      </c>
    </row>
    <row r="28" spans="1:14" ht="14.25" customHeight="1" x14ac:dyDescent="0.3">
      <c r="A28" s="75">
        <v>46127</v>
      </c>
      <c r="B28" s="85" t="s">
        <v>217</v>
      </c>
      <c r="C28" s="81">
        <v>12000</v>
      </c>
      <c r="D28" t="s">
        <v>20</v>
      </c>
    </row>
    <row r="29" spans="1:14" ht="14.25" customHeight="1" x14ac:dyDescent="0.3">
      <c r="A29" s="75">
        <v>46127</v>
      </c>
      <c r="B29" t="s">
        <v>101</v>
      </c>
      <c r="C29" s="81">
        <v>350000</v>
      </c>
      <c r="D29" t="s">
        <v>20</v>
      </c>
      <c r="L29" s="80" t="s">
        <v>42</v>
      </c>
      <c r="M29" s="80" t="s">
        <v>45</v>
      </c>
      <c r="N29" s="80" t="s">
        <v>107</v>
      </c>
    </row>
    <row r="30" spans="1:14" ht="14.25" customHeight="1" x14ac:dyDescent="0.3">
      <c r="A30" s="75">
        <v>46128</v>
      </c>
      <c r="B30" t="s">
        <v>207</v>
      </c>
      <c r="C30" s="93">
        <v>500000</v>
      </c>
      <c r="D30" t="s">
        <v>16</v>
      </c>
      <c r="L30" s="79">
        <f>SUMIF(D4:D70,"N",C4:C70)</f>
        <v>8111792.2999999998</v>
      </c>
      <c r="M30" s="79">
        <f>SUMIF(D4:D70,"D",C4:C70)</f>
        <v>4750172</v>
      </c>
      <c r="N30" s="79">
        <v>33504000</v>
      </c>
    </row>
    <row r="31" spans="1:14" ht="14.25" customHeight="1" x14ac:dyDescent="0.3">
      <c r="A31" s="75">
        <v>46128</v>
      </c>
      <c r="B31" t="s">
        <v>101</v>
      </c>
      <c r="C31" s="94">
        <v>300000</v>
      </c>
      <c r="D31" t="s">
        <v>20</v>
      </c>
    </row>
    <row r="32" spans="1:14" ht="14.25" customHeight="1" x14ac:dyDescent="0.3">
      <c r="A32" s="75">
        <v>46128</v>
      </c>
      <c r="B32" t="s">
        <v>139</v>
      </c>
      <c r="C32" s="94">
        <v>100000</v>
      </c>
      <c r="D32" t="s">
        <v>20</v>
      </c>
    </row>
    <row r="33" spans="1:4" ht="14.25" customHeight="1" x14ac:dyDescent="0.3">
      <c r="A33" s="84">
        <v>46128</v>
      </c>
      <c r="B33" s="85" t="s">
        <v>165</v>
      </c>
      <c r="C33" s="94">
        <v>28451</v>
      </c>
      <c r="D33" t="s">
        <v>20</v>
      </c>
    </row>
    <row r="34" spans="1:4" ht="14.25" customHeight="1" x14ac:dyDescent="0.3">
      <c r="A34" s="75">
        <v>46128</v>
      </c>
      <c r="B34" s="27" t="s">
        <v>221</v>
      </c>
      <c r="C34" s="94">
        <v>50016.76</v>
      </c>
      <c r="D34" t="s">
        <v>20</v>
      </c>
    </row>
    <row r="35" spans="1:4" ht="14.25" customHeight="1" x14ac:dyDescent="0.3">
      <c r="A35" s="75">
        <v>46129</v>
      </c>
      <c r="B35" t="s">
        <v>207</v>
      </c>
      <c r="C35" s="94">
        <v>300000</v>
      </c>
      <c r="D35" t="s">
        <v>16</v>
      </c>
    </row>
    <row r="36" spans="1:4" ht="14.25" customHeight="1" x14ac:dyDescent="0.3">
      <c r="A36" s="75">
        <v>46129</v>
      </c>
      <c r="B36" s="27" t="s">
        <v>126</v>
      </c>
      <c r="C36" s="94">
        <v>95000</v>
      </c>
      <c r="D36" t="s">
        <v>16</v>
      </c>
    </row>
    <row r="37" spans="1:4" ht="14.25" customHeight="1" x14ac:dyDescent="0.3">
      <c r="A37" s="75">
        <v>46129</v>
      </c>
      <c r="B37" t="s">
        <v>126</v>
      </c>
      <c r="C37" s="94">
        <v>250000</v>
      </c>
      <c r="D37" t="s">
        <v>16</v>
      </c>
    </row>
    <row r="38" spans="1:4" ht="14.25" customHeight="1" x14ac:dyDescent="0.3">
      <c r="A38" s="75">
        <v>46129</v>
      </c>
      <c r="B38" t="s">
        <v>126</v>
      </c>
      <c r="C38" s="96">
        <v>105000</v>
      </c>
      <c r="D38" t="s">
        <v>16</v>
      </c>
    </row>
    <row r="39" spans="1:4" ht="14.25" customHeight="1" x14ac:dyDescent="0.3">
      <c r="A39" s="75">
        <v>46129</v>
      </c>
      <c r="B39" t="s">
        <v>101</v>
      </c>
      <c r="C39" s="94">
        <v>150008.38</v>
      </c>
      <c r="D39" t="s">
        <v>20</v>
      </c>
    </row>
    <row r="40" spans="1:4" ht="14.25" customHeight="1" x14ac:dyDescent="0.3">
      <c r="A40" s="75">
        <v>46129</v>
      </c>
      <c r="B40" t="s">
        <v>230</v>
      </c>
      <c r="C40" s="94">
        <v>96016.76</v>
      </c>
      <c r="D40" t="s">
        <v>20</v>
      </c>
    </row>
    <row r="41" spans="1:4" ht="14.25" customHeight="1" x14ac:dyDescent="0.3">
      <c r="A41" s="75">
        <v>46129</v>
      </c>
      <c r="B41" t="s">
        <v>229</v>
      </c>
      <c r="C41" s="94">
        <v>73000</v>
      </c>
      <c r="D41" t="s">
        <v>20</v>
      </c>
    </row>
    <row r="42" spans="1:4" ht="14.25" customHeight="1" x14ac:dyDescent="0.3">
      <c r="A42" s="75">
        <v>46129</v>
      </c>
      <c r="B42" t="s">
        <v>228</v>
      </c>
      <c r="C42" s="94">
        <v>37000</v>
      </c>
      <c r="D42" t="s">
        <v>20</v>
      </c>
    </row>
    <row r="43" spans="1:4" ht="14.25" customHeight="1" x14ac:dyDescent="0.3">
      <c r="A43" s="75">
        <v>46129</v>
      </c>
      <c r="B43" s="27" t="s">
        <v>106</v>
      </c>
      <c r="C43" s="94">
        <v>100000</v>
      </c>
      <c r="D43" t="s">
        <v>16</v>
      </c>
    </row>
    <row r="44" spans="1:4" ht="14.25" customHeight="1" x14ac:dyDescent="0.3">
      <c r="A44" s="75">
        <v>46129</v>
      </c>
      <c r="B44" s="27" t="s">
        <v>106</v>
      </c>
      <c r="C44" s="94">
        <v>100000</v>
      </c>
      <c r="D44" t="s">
        <v>16</v>
      </c>
    </row>
    <row r="45" spans="1:4" ht="14.25" customHeight="1" x14ac:dyDescent="0.3">
      <c r="A45" s="75">
        <v>46132</v>
      </c>
      <c r="B45" t="s">
        <v>234</v>
      </c>
      <c r="C45" s="94">
        <v>30016.76</v>
      </c>
      <c r="D45" t="s">
        <v>20</v>
      </c>
    </row>
    <row r="46" spans="1:4" ht="14.25" customHeight="1" x14ac:dyDescent="0.3">
      <c r="A46" s="75">
        <v>46132</v>
      </c>
      <c r="B46" t="s">
        <v>232</v>
      </c>
      <c r="C46" s="94">
        <v>15016.75</v>
      </c>
      <c r="D46" t="s">
        <v>20</v>
      </c>
    </row>
    <row r="47" spans="1:4" ht="14.25" customHeight="1" x14ac:dyDescent="0.3">
      <c r="A47" s="75">
        <v>46132</v>
      </c>
      <c r="B47" s="27" t="s">
        <v>235</v>
      </c>
      <c r="C47" s="94">
        <v>100000</v>
      </c>
      <c r="D47" t="s">
        <v>16</v>
      </c>
    </row>
    <row r="48" spans="1:4" ht="14.25" customHeight="1" x14ac:dyDescent="0.3">
      <c r="A48" s="91">
        <v>46132</v>
      </c>
      <c r="B48" t="s">
        <v>165</v>
      </c>
      <c r="C48" s="97">
        <v>28246.75</v>
      </c>
      <c r="D48" t="s">
        <v>20</v>
      </c>
    </row>
    <row r="49" spans="1:4" ht="14.25" customHeight="1" x14ac:dyDescent="0.3">
      <c r="A49" s="91">
        <v>46132</v>
      </c>
      <c r="B49" t="s">
        <v>101</v>
      </c>
      <c r="C49" s="97">
        <v>500000</v>
      </c>
      <c r="D49" t="s">
        <v>20</v>
      </c>
    </row>
    <row r="50" spans="1:4" ht="14.25" customHeight="1" x14ac:dyDescent="0.3">
      <c r="A50" s="91">
        <v>46133</v>
      </c>
      <c r="B50" t="s">
        <v>207</v>
      </c>
      <c r="C50" s="97">
        <v>150000</v>
      </c>
      <c r="D50" t="s">
        <v>16</v>
      </c>
    </row>
    <row r="51" spans="1:4" ht="14.25" customHeight="1" x14ac:dyDescent="0.3">
      <c r="A51" s="91">
        <v>46133</v>
      </c>
      <c r="B51" t="s">
        <v>238</v>
      </c>
      <c r="C51" s="97">
        <v>104000</v>
      </c>
      <c r="D51" t="s">
        <v>20</v>
      </c>
    </row>
    <row r="52" spans="1:4" ht="14.25" customHeight="1" x14ac:dyDescent="0.3">
      <c r="A52" s="91">
        <v>46133</v>
      </c>
      <c r="B52" t="s">
        <v>239</v>
      </c>
      <c r="C52" s="97">
        <v>200000</v>
      </c>
      <c r="D52" t="s">
        <v>20</v>
      </c>
    </row>
    <row r="53" spans="1:4" ht="14.25" customHeight="1" x14ac:dyDescent="0.3">
      <c r="A53" s="98">
        <v>46134</v>
      </c>
      <c r="B53" s="99" t="s">
        <v>101</v>
      </c>
      <c r="C53" s="94">
        <v>301000</v>
      </c>
      <c r="D53" t="s">
        <v>20</v>
      </c>
    </row>
    <row r="54" spans="1:4" ht="14.25" customHeight="1" x14ac:dyDescent="0.3">
      <c r="A54" s="91">
        <v>46136</v>
      </c>
      <c r="B54" s="27" t="s">
        <v>235</v>
      </c>
      <c r="C54" s="97">
        <v>150000</v>
      </c>
      <c r="D54" t="s">
        <v>16</v>
      </c>
    </row>
    <row r="55" spans="1:4" ht="14.4" x14ac:dyDescent="0.3">
      <c r="A55" s="91">
        <v>46139</v>
      </c>
      <c r="B55" s="102" t="s">
        <v>244</v>
      </c>
      <c r="C55" s="97">
        <v>85008.38</v>
      </c>
      <c r="D55" t="s">
        <v>20</v>
      </c>
    </row>
    <row r="56" spans="1:4" ht="14.25" customHeight="1" x14ac:dyDescent="0.3">
      <c r="A56" s="91">
        <v>46139</v>
      </c>
      <c r="B56" s="101" t="s">
        <v>245</v>
      </c>
      <c r="C56" s="97">
        <v>106016.76</v>
      </c>
      <c r="D56" t="s">
        <v>20</v>
      </c>
    </row>
    <row r="57" spans="1:4" ht="14.25" customHeight="1" x14ac:dyDescent="0.3">
      <c r="A57" s="91">
        <v>46140</v>
      </c>
      <c r="B57" t="s">
        <v>144</v>
      </c>
      <c r="C57" s="97">
        <v>500000</v>
      </c>
      <c r="D57" t="s">
        <v>20</v>
      </c>
    </row>
    <row r="58" spans="1:4" ht="14.25" customHeight="1" x14ac:dyDescent="0.3">
      <c r="A58" s="91">
        <v>46140</v>
      </c>
      <c r="B58" t="s">
        <v>207</v>
      </c>
      <c r="C58" s="97">
        <v>150000</v>
      </c>
      <c r="D58" t="s">
        <v>16</v>
      </c>
    </row>
    <row r="59" spans="1:4" ht="14.25" customHeight="1" x14ac:dyDescent="0.3">
      <c r="A59" s="91">
        <v>46142</v>
      </c>
      <c r="B59" t="s">
        <v>248</v>
      </c>
      <c r="C59" s="97">
        <v>174859.73</v>
      </c>
      <c r="D59" t="s">
        <v>20</v>
      </c>
    </row>
    <row r="60" spans="1:4" ht="14.25" customHeight="1" x14ac:dyDescent="0.3">
      <c r="A60" s="91">
        <v>46142</v>
      </c>
      <c r="B60" t="s">
        <v>249</v>
      </c>
      <c r="C60" s="97">
        <v>165000</v>
      </c>
      <c r="D60" t="s">
        <v>20</v>
      </c>
    </row>
    <row r="61" spans="1:4" ht="14.25" customHeight="1" x14ac:dyDescent="0.3"/>
    <row r="62" spans="1:4" ht="14.25" customHeight="1" x14ac:dyDescent="0.3"/>
    <row r="63" spans="1:4" ht="14.25" customHeight="1" x14ac:dyDescent="0.3"/>
    <row r="64" spans="1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topLeftCell="A26" workbookViewId="0">
      <selection activeCell="L29" sqref="L29"/>
    </sheetView>
  </sheetViews>
  <sheetFormatPr defaultColWidth="14.44140625" defaultRowHeight="15" customHeight="1" x14ac:dyDescent="0.3"/>
  <cols>
    <col min="1" max="1" width="11.44140625" customWidth="1"/>
    <col min="2" max="2" width="37.33203125" customWidth="1"/>
    <col min="3" max="3" width="26.6640625" customWidth="1"/>
    <col min="4" max="4" width="10.6640625" customWidth="1"/>
    <col min="5" max="11" width="8.6640625" customWidth="1"/>
    <col min="12" max="12" width="20.6640625" customWidth="1"/>
    <col min="13" max="13" width="21.6640625" customWidth="1"/>
    <col min="14" max="14" width="34.6640625" customWidth="1"/>
    <col min="15" max="26" width="8.6640625" customWidth="1"/>
  </cols>
  <sheetData>
    <row r="1" spans="1:4" ht="14.25" customHeight="1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75">
        <v>46083</v>
      </c>
      <c r="B4" s="27" t="s">
        <v>108</v>
      </c>
      <c r="C4" s="81">
        <v>20016.759999999998</v>
      </c>
      <c r="D4" s="27" t="s">
        <v>20</v>
      </c>
    </row>
    <row r="5" spans="1:4" ht="14.25" customHeight="1" x14ac:dyDescent="0.3">
      <c r="A5" s="75">
        <v>46083</v>
      </c>
      <c r="B5" s="27" t="s">
        <v>109</v>
      </c>
      <c r="C5" s="81">
        <v>8008.37</v>
      </c>
      <c r="D5" s="27" t="s">
        <v>20</v>
      </c>
    </row>
    <row r="6" spans="1:4" ht="14.25" customHeight="1" x14ac:dyDescent="0.3">
      <c r="A6" s="75">
        <v>46083</v>
      </c>
      <c r="B6" s="27" t="s">
        <v>110</v>
      </c>
      <c r="C6" s="81">
        <v>2508.37</v>
      </c>
      <c r="D6" s="27" t="s">
        <v>20</v>
      </c>
    </row>
    <row r="7" spans="1:4" ht="14.25" customHeight="1" x14ac:dyDescent="0.3">
      <c r="A7" s="75">
        <v>46083</v>
      </c>
      <c r="B7" s="27" t="s">
        <v>111</v>
      </c>
      <c r="C7" s="81">
        <v>20016.759999999998</v>
      </c>
      <c r="D7" s="27" t="s">
        <v>20</v>
      </c>
    </row>
    <row r="8" spans="1:4" ht="14.25" customHeight="1" x14ac:dyDescent="0.3">
      <c r="A8" s="75">
        <v>46083</v>
      </c>
      <c r="B8" s="27" t="s">
        <v>112</v>
      </c>
      <c r="C8" s="81">
        <v>12435</v>
      </c>
      <c r="D8" s="27" t="s">
        <v>20</v>
      </c>
    </row>
    <row r="9" spans="1:4" ht="14.25" customHeight="1" x14ac:dyDescent="0.3">
      <c r="A9" s="75">
        <v>46083</v>
      </c>
      <c r="B9" s="27" t="s">
        <v>113</v>
      </c>
      <c r="C9" s="81">
        <v>166016.76</v>
      </c>
      <c r="D9" s="27" t="s">
        <v>20</v>
      </c>
    </row>
    <row r="10" spans="1:4" ht="14.25" customHeight="1" x14ac:dyDescent="0.3">
      <c r="A10" s="75">
        <v>46083</v>
      </c>
      <c r="B10" s="27" t="s">
        <v>114</v>
      </c>
      <c r="C10" s="81">
        <v>50008.38</v>
      </c>
      <c r="D10" s="27" t="s">
        <v>20</v>
      </c>
    </row>
    <row r="11" spans="1:4" ht="14.25" customHeight="1" x14ac:dyDescent="0.3">
      <c r="A11" s="75">
        <v>46083</v>
      </c>
      <c r="B11" s="27" t="s">
        <v>115</v>
      </c>
      <c r="C11" s="81">
        <v>5008.37</v>
      </c>
      <c r="D11" s="27" t="s">
        <v>20</v>
      </c>
    </row>
    <row r="12" spans="1:4" ht="14.25" customHeight="1" x14ac:dyDescent="0.3">
      <c r="A12" s="75">
        <v>46083</v>
      </c>
      <c r="B12" s="27" t="s">
        <v>116</v>
      </c>
      <c r="C12" s="81">
        <v>26316.76</v>
      </c>
      <c r="D12" s="27" t="s">
        <v>20</v>
      </c>
    </row>
    <row r="13" spans="1:4" ht="14.25" customHeight="1" x14ac:dyDescent="0.3">
      <c r="A13" s="75">
        <v>46083</v>
      </c>
      <c r="B13" s="27" t="s">
        <v>117</v>
      </c>
      <c r="C13" s="81">
        <v>158031.97</v>
      </c>
      <c r="D13" s="27" t="s">
        <v>20</v>
      </c>
    </row>
    <row r="14" spans="1:4" ht="14.25" customHeight="1" x14ac:dyDescent="0.3">
      <c r="A14" s="75">
        <v>46083</v>
      </c>
      <c r="B14" s="27" t="s">
        <v>118</v>
      </c>
      <c r="C14" s="81">
        <v>30000</v>
      </c>
      <c r="D14" s="27" t="s">
        <v>20</v>
      </c>
    </row>
    <row r="15" spans="1:4" ht="14.25" customHeight="1" x14ac:dyDescent="0.3">
      <c r="A15" s="75"/>
      <c r="C15" s="81"/>
    </row>
    <row r="16" spans="1:4" ht="14.25" customHeight="1" x14ac:dyDescent="0.3">
      <c r="A16" s="84">
        <v>46083</v>
      </c>
      <c r="B16" s="85" t="s">
        <v>119</v>
      </c>
      <c r="C16" s="81">
        <v>69916.009999999995</v>
      </c>
      <c r="D16" s="27" t="s">
        <v>20</v>
      </c>
    </row>
    <row r="17" spans="1:14" ht="14.25" customHeight="1" x14ac:dyDescent="0.3">
      <c r="A17" s="75">
        <v>46083</v>
      </c>
      <c r="B17" s="27" t="s">
        <v>120</v>
      </c>
      <c r="C17" s="81">
        <v>45016.75</v>
      </c>
      <c r="D17" s="27" t="s">
        <v>20</v>
      </c>
    </row>
    <row r="18" spans="1:14" ht="14.25" customHeight="1" x14ac:dyDescent="0.3">
      <c r="A18" s="75">
        <v>46083</v>
      </c>
      <c r="B18" s="27" t="s">
        <v>121</v>
      </c>
      <c r="C18" s="81">
        <v>75000</v>
      </c>
      <c r="D18" s="27" t="s">
        <v>20</v>
      </c>
    </row>
    <row r="19" spans="1:14" ht="14.25" customHeight="1" x14ac:dyDescent="0.3">
      <c r="A19" s="75">
        <v>46083</v>
      </c>
      <c r="B19" s="27" t="s">
        <v>122</v>
      </c>
      <c r="C19" s="81">
        <v>85000</v>
      </c>
      <c r="D19" s="27" t="s">
        <v>20</v>
      </c>
    </row>
    <row r="20" spans="1:14" ht="14.25" customHeight="1" x14ac:dyDescent="0.3">
      <c r="A20" s="75">
        <v>46083</v>
      </c>
      <c r="B20" s="27" t="s">
        <v>123</v>
      </c>
      <c r="C20" s="81">
        <v>70000</v>
      </c>
      <c r="D20" s="27" t="s">
        <v>20</v>
      </c>
    </row>
    <row r="21" spans="1:14" ht="14.25" customHeight="1" x14ac:dyDescent="0.3">
      <c r="A21" s="75">
        <v>46083</v>
      </c>
      <c r="B21" s="27" t="s">
        <v>124</v>
      </c>
      <c r="C21" s="81">
        <v>30000</v>
      </c>
      <c r="D21" s="27" t="s">
        <v>20</v>
      </c>
    </row>
    <row r="22" spans="1:14" ht="14.25" customHeight="1" x14ac:dyDescent="0.3">
      <c r="A22" s="75">
        <v>46083</v>
      </c>
      <c r="B22" s="85" t="s">
        <v>125</v>
      </c>
      <c r="C22" s="81">
        <v>166000</v>
      </c>
      <c r="D22" s="27" t="s">
        <v>16</v>
      </c>
    </row>
    <row r="23" spans="1:14" ht="14.25" customHeight="1" x14ac:dyDescent="0.3">
      <c r="A23" s="75">
        <v>46084</v>
      </c>
      <c r="B23" s="27" t="s">
        <v>126</v>
      </c>
      <c r="C23" s="81">
        <v>448315.4</v>
      </c>
      <c r="D23" s="27" t="s">
        <v>16</v>
      </c>
    </row>
    <row r="24" spans="1:14" ht="14.25" customHeight="1" x14ac:dyDescent="0.3">
      <c r="A24" s="75">
        <v>46087</v>
      </c>
      <c r="B24" s="27" t="s">
        <v>114</v>
      </c>
      <c r="C24" s="81">
        <v>209008.38</v>
      </c>
      <c r="D24" s="27" t="s">
        <v>20</v>
      </c>
    </row>
    <row r="25" spans="1:14" ht="14.25" customHeight="1" x14ac:dyDescent="0.3">
      <c r="A25" s="75">
        <v>46087</v>
      </c>
      <c r="B25" s="27" t="s">
        <v>127</v>
      </c>
      <c r="C25" s="81">
        <v>100008.38</v>
      </c>
      <c r="D25" s="27" t="s">
        <v>20</v>
      </c>
    </row>
    <row r="26" spans="1:14" ht="14.25" customHeight="1" x14ac:dyDescent="0.3">
      <c r="A26" s="75">
        <v>46091</v>
      </c>
      <c r="B26" s="27" t="s">
        <v>127</v>
      </c>
      <c r="C26" s="81">
        <v>234000</v>
      </c>
      <c r="D26" s="27" t="s">
        <v>16</v>
      </c>
    </row>
    <row r="27" spans="1:14" ht="14.25" customHeight="1" x14ac:dyDescent="0.3">
      <c r="A27" s="75">
        <v>46092</v>
      </c>
      <c r="B27" s="85" t="s">
        <v>127</v>
      </c>
      <c r="C27" s="81">
        <v>298008.38</v>
      </c>
      <c r="D27" s="27" t="s">
        <v>20</v>
      </c>
    </row>
    <row r="28" spans="1:14" ht="14.25" customHeight="1" x14ac:dyDescent="0.3">
      <c r="A28" s="75">
        <v>46092</v>
      </c>
      <c r="B28" s="27" t="s">
        <v>128</v>
      </c>
      <c r="C28" s="81">
        <v>15097</v>
      </c>
      <c r="D28" s="27" t="s">
        <v>20</v>
      </c>
      <c r="L28" s="80" t="s">
        <v>42</v>
      </c>
      <c r="M28" s="80" t="s">
        <v>45</v>
      </c>
      <c r="N28" s="80" t="s">
        <v>107</v>
      </c>
    </row>
    <row r="29" spans="1:14" ht="14.25" customHeight="1" x14ac:dyDescent="0.3">
      <c r="A29" s="75">
        <v>46092</v>
      </c>
      <c r="B29" s="27" t="s">
        <v>108</v>
      </c>
      <c r="C29" s="81">
        <v>25016.76</v>
      </c>
      <c r="D29" s="27" t="s">
        <v>20</v>
      </c>
      <c r="L29" s="79">
        <f>SUMIF(D4:D70,"N",C4:C70)</f>
        <v>3106951.03</v>
      </c>
      <c r="M29" s="79">
        <f>SUMIF(D4:D70,"D",C4:C70)</f>
        <v>848315.4</v>
      </c>
      <c r="N29" s="79">
        <v>33504000</v>
      </c>
    </row>
    <row r="30" spans="1:14" ht="14.25" customHeight="1" x14ac:dyDescent="0.3">
      <c r="A30" s="75">
        <v>46094</v>
      </c>
      <c r="B30" s="27" t="s">
        <v>129</v>
      </c>
      <c r="C30" s="77">
        <v>57276.76</v>
      </c>
      <c r="D30" s="27" t="s">
        <v>20</v>
      </c>
    </row>
    <row r="31" spans="1:14" ht="14.25" customHeight="1" x14ac:dyDescent="0.3">
      <c r="A31" s="75">
        <v>46094</v>
      </c>
      <c r="B31" s="27" t="s">
        <v>130</v>
      </c>
      <c r="C31" s="77">
        <v>25400</v>
      </c>
      <c r="D31" s="27" t="s">
        <v>20</v>
      </c>
    </row>
    <row r="32" spans="1:14" ht="14.25" customHeight="1" x14ac:dyDescent="0.3">
      <c r="A32" s="84">
        <v>46094</v>
      </c>
      <c r="B32" s="85" t="s">
        <v>131</v>
      </c>
      <c r="C32" s="77">
        <v>40100</v>
      </c>
      <c r="D32" s="27" t="s">
        <v>20</v>
      </c>
    </row>
    <row r="33" spans="1:4" ht="14.25" customHeight="1" x14ac:dyDescent="0.3">
      <c r="A33" s="75">
        <v>46094</v>
      </c>
      <c r="B33" s="27" t="s">
        <v>132</v>
      </c>
      <c r="C33" s="77">
        <v>4008.37</v>
      </c>
      <c r="D33" s="27" t="s">
        <v>20</v>
      </c>
    </row>
    <row r="34" spans="1:4" ht="14.25" customHeight="1" x14ac:dyDescent="0.3">
      <c r="A34" s="75">
        <v>46097</v>
      </c>
      <c r="B34" s="27" t="s">
        <v>127</v>
      </c>
      <c r="C34" s="77">
        <v>150008.38</v>
      </c>
      <c r="D34" s="27" t="s">
        <v>20</v>
      </c>
    </row>
    <row r="35" spans="1:4" ht="14.25" customHeight="1" x14ac:dyDescent="0.3">
      <c r="A35" s="75">
        <v>46097</v>
      </c>
      <c r="B35" s="27" t="s">
        <v>222</v>
      </c>
      <c r="C35" s="77">
        <v>50016.76</v>
      </c>
      <c r="D35" s="27" t="s">
        <v>20</v>
      </c>
    </row>
    <row r="36" spans="1:4" ht="14.25" customHeight="1" x14ac:dyDescent="0.3">
      <c r="A36" s="75">
        <v>46097</v>
      </c>
      <c r="B36" s="85" t="s">
        <v>133</v>
      </c>
      <c r="C36" s="77">
        <v>187000</v>
      </c>
      <c r="D36" s="27" t="s">
        <v>20</v>
      </c>
    </row>
    <row r="37" spans="1:4" ht="14.25" customHeight="1" x14ac:dyDescent="0.3">
      <c r="A37" s="75">
        <v>46097</v>
      </c>
      <c r="B37" s="85" t="s">
        <v>134</v>
      </c>
      <c r="C37" s="77">
        <v>96016.76</v>
      </c>
      <c r="D37" s="27" t="s">
        <v>20</v>
      </c>
    </row>
    <row r="38" spans="1:4" ht="14.25" customHeight="1" x14ac:dyDescent="0.3">
      <c r="A38" s="75">
        <v>46098</v>
      </c>
      <c r="B38" s="83" t="s">
        <v>135</v>
      </c>
      <c r="C38" s="77">
        <v>19816.75</v>
      </c>
      <c r="D38" s="27" t="s">
        <v>20</v>
      </c>
    </row>
    <row r="39" spans="1:4" ht="14.25" customHeight="1" x14ac:dyDescent="0.3">
      <c r="A39" s="75">
        <v>46100</v>
      </c>
      <c r="B39" s="27" t="s">
        <v>136</v>
      </c>
      <c r="C39" s="77">
        <v>10016.76</v>
      </c>
      <c r="D39" s="27" t="s">
        <v>20</v>
      </c>
    </row>
    <row r="40" spans="1:4" ht="14.25" customHeight="1" x14ac:dyDescent="0.3">
      <c r="A40" s="75">
        <v>46100</v>
      </c>
      <c r="B40" s="27" t="s">
        <v>137</v>
      </c>
      <c r="C40" s="77">
        <v>200016.76</v>
      </c>
      <c r="D40" s="27" t="s">
        <v>20</v>
      </c>
    </row>
    <row r="41" spans="1:4" ht="14.25" customHeight="1" x14ac:dyDescent="0.3">
      <c r="A41" s="75">
        <v>46100</v>
      </c>
      <c r="B41" s="27" t="s">
        <v>138</v>
      </c>
      <c r="C41" s="77">
        <v>5108.37</v>
      </c>
      <c r="D41" s="27" t="s">
        <v>20</v>
      </c>
    </row>
    <row r="42" spans="1:4" ht="14.25" customHeight="1" x14ac:dyDescent="0.3">
      <c r="A42" s="75">
        <v>46100</v>
      </c>
      <c r="B42" s="27" t="s">
        <v>138</v>
      </c>
      <c r="C42" s="77">
        <v>3004.19</v>
      </c>
      <c r="D42" s="27" t="s">
        <v>20</v>
      </c>
    </row>
    <row r="43" spans="1:4" ht="14.25" customHeight="1" x14ac:dyDescent="0.3">
      <c r="A43" s="75">
        <v>46100</v>
      </c>
      <c r="B43" s="27" t="s">
        <v>138</v>
      </c>
      <c r="C43" s="77">
        <v>3008.37</v>
      </c>
      <c r="D43" s="27" t="s">
        <v>20</v>
      </c>
    </row>
    <row r="44" spans="1:4" ht="14.25" customHeight="1" x14ac:dyDescent="0.3">
      <c r="A44" s="75">
        <v>46100</v>
      </c>
      <c r="B44" s="27" t="s">
        <v>139</v>
      </c>
      <c r="C44" s="77">
        <v>100000</v>
      </c>
      <c r="D44" s="27" t="s">
        <v>20</v>
      </c>
    </row>
    <row r="45" spans="1:4" ht="14.25" customHeight="1" x14ac:dyDescent="0.3">
      <c r="A45" s="75">
        <v>46104</v>
      </c>
      <c r="B45" s="27" t="s">
        <v>140</v>
      </c>
      <c r="C45" s="77">
        <v>15016.75</v>
      </c>
      <c r="D45" s="27" t="s">
        <v>20</v>
      </c>
    </row>
    <row r="46" spans="1:4" ht="14.25" customHeight="1" x14ac:dyDescent="0.3">
      <c r="A46" s="75">
        <v>46104</v>
      </c>
      <c r="B46" s="27" t="s">
        <v>141</v>
      </c>
      <c r="C46" s="77">
        <v>12016.76</v>
      </c>
      <c r="D46" s="27" t="s">
        <v>20</v>
      </c>
    </row>
    <row r="47" spans="1:4" ht="14.25" customHeight="1" x14ac:dyDescent="0.3">
      <c r="A47" s="75">
        <v>46106</v>
      </c>
      <c r="B47" s="27" t="s">
        <v>142</v>
      </c>
      <c r="C47" s="77">
        <v>10316.76</v>
      </c>
      <c r="D47" s="27" t="s">
        <v>20</v>
      </c>
    </row>
    <row r="48" spans="1:4" ht="14.25" customHeight="1" x14ac:dyDescent="0.3">
      <c r="A48" s="75">
        <v>46107</v>
      </c>
      <c r="B48" s="85" t="s">
        <v>143</v>
      </c>
      <c r="C48" s="77">
        <v>50000</v>
      </c>
      <c r="D48" s="27" t="s">
        <v>20</v>
      </c>
    </row>
    <row r="49" spans="1:26" ht="14.25" customHeight="1" x14ac:dyDescent="0.3">
      <c r="A49" s="75">
        <v>46111</v>
      </c>
      <c r="B49" s="27" t="s">
        <v>144</v>
      </c>
      <c r="C49" s="77">
        <v>420000</v>
      </c>
      <c r="D49" s="27" t="s">
        <v>20</v>
      </c>
    </row>
    <row r="50" spans="1:26" ht="25.5" customHeight="1" x14ac:dyDescent="0.3">
      <c r="A50" s="86">
        <v>46111</v>
      </c>
      <c r="B50" s="85" t="s">
        <v>145</v>
      </c>
      <c r="C50" s="87">
        <v>20000</v>
      </c>
      <c r="D50" s="85" t="s">
        <v>20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4.25" customHeight="1" x14ac:dyDescent="0.3">
      <c r="A51" s="75">
        <v>46112</v>
      </c>
      <c r="B51" s="27" t="s">
        <v>146</v>
      </c>
      <c r="C51" s="77">
        <v>108363.37</v>
      </c>
      <c r="D51" s="27" t="s">
        <v>20</v>
      </c>
    </row>
    <row r="52" spans="1:26" ht="14.25" customHeight="1" x14ac:dyDescent="0.3"/>
    <row r="53" spans="1:26" ht="14.25" customHeight="1" x14ac:dyDescent="0.3"/>
    <row r="54" spans="1:26" ht="14.25" customHeight="1" x14ac:dyDescent="0.3"/>
    <row r="55" spans="1:26" ht="14.25" customHeight="1" x14ac:dyDescent="0.3"/>
    <row r="56" spans="1:26" ht="14.25" customHeight="1" x14ac:dyDescent="0.3"/>
    <row r="57" spans="1:26" ht="14.25" customHeight="1" x14ac:dyDescent="0.3"/>
    <row r="58" spans="1:26" ht="14.25" customHeight="1" x14ac:dyDescent="0.3"/>
    <row r="59" spans="1:26" ht="14.25" customHeight="1" x14ac:dyDescent="0.3"/>
    <row r="60" spans="1:26" ht="14.25" customHeight="1" x14ac:dyDescent="0.3"/>
    <row r="61" spans="1:26" ht="14.25" customHeight="1" x14ac:dyDescent="0.3"/>
    <row r="62" spans="1:26" ht="14.25" customHeight="1" x14ac:dyDescent="0.3"/>
    <row r="63" spans="1:26" ht="14.25" customHeight="1" x14ac:dyDescent="0.3"/>
    <row r="64" spans="1:2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1000"/>
  <sheetViews>
    <sheetView topLeftCell="A9" workbookViewId="0">
      <selection activeCell="B30" sqref="B30"/>
    </sheetView>
  </sheetViews>
  <sheetFormatPr defaultColWidth="14.44140625" defaultRowHeight="15" customHeight="1" x14ac:dyDescent="0.3"/>
  <cols>
    <col min="1" max="1" width="10.88671875" customWidth="1"/>
    <col min="2" max="2" width="36.44140625" customWidth="1"/>
    <col min="3" max="3" width="26.6640625" customWidth="1"/>
    <col min="4" max="4" width="10.6640625" customWidth="1"/>
    <col min="5" max="11" width="8.6640625" customWidth="1"/>
    <col min="12" max="12" width="18.109375" customWidth="1"/>
    <col min="13" max="13" width="21.6640625" customWidth="1"/>
    <col min="14" max="14" width="34.6640625" customWidth="1"/>
    <col min="15" max="26" width="8.6640625" customWidth="1"/>
  </cols>
  <sheetData>
    <row r="1" spans="1:4" ht="14.25" customHeight="1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75">
        <v>46055</v>
      </c>
      <c r="B4" s="27" t="s">
        <v>147</v>
      </c>
      <c r="C4" s="76">
        <v>2000</v>
      </c>
      <c r="D4" s="27" t="s">
        <v>20</v>
      </c>
    </row>
    <row r="5" spans="1:4" ht="14.25" customHeight="1" x14ac:dyDescent="0.3">
      <c r="A5" s="75">
        <v>46055</v>
      </c>
      <c r="B5" s="27" t="s">
        <v>148</v>
      </c>
      <c r="C5" s="76">
        <v>70000</v>
      </c>
      <c r="D5" s="27" t="s">
        <v>20</v>
      </c>
    </row>
    <row r="6" spans="1:4" ht="14.25" customHeight="1" x14ac:dyDescent="0.3">
      <c r="A6" s="75">
        <v>46055</v>
      </c>
      <c r="B6" s="27" t="s">
        <v>149</v>
      </c>
      <c r="C6" s="76">
        <v>30000</v>
      </c>
      <c r="D6" s="27" t="s">
        <v>20</v>
      </c>
    </row>
    <row r="7" spans="1:4" ht="14.25" customHeight="1" x14ac:dyDescent="0.3">
      <c r="A7" s="75">
        <v>46055</v>
      </c>
      <c r="B7" s="27" t="s">
        <v>150</v>
      </c>
      <c r="C7" s="76">
        <v>85016</v>
      </c>
      <c r="D7" s="27" t="s">
        <v>20</v>
      </c>
    </row>
    <row r="8" spans="1:4" ht="14.25" customHeight="1" x14ac:dyDescent="0.3">
      <c r="A8" s="75">
        <v>46055</v>
      </c>
      <c r="B8" s="27" t="s">
        <v>151</v>
      </c>
      <c r="C8" s="76">
        <v>29016</v>
      </c>
      <c r="D8" s="27" t="s">
        <v>20</v>
      </c>
    </row>
    <row r="9" spans="1:4" ht="14.25" customHeight="1" x14ac:dyDescent="0.3">
      <c r="A9" s="75">
        <v>46056</v>
      </c>
      <c r="B9" s="27" t="s">
        <v>152</v>
      </c>
      <c r="C9" s="76">
        <v>75000</v>
      </c>
      <c r="D9" s="27" t="s">
        <v>20</v>
      </c>
    </row>
    <row r="10" spans="1:4" ht="14.25" customHeight="1" x14ac:dyDescent="0.3">
      <c r="A10" s="75">
        <v>46057</v>
      </c>
      <c r="B10" s="27" t="s">
        <v>153</v>
      </c>
      <c r="C10" s="76">
        <v>1037000</v>
      </c>
      <c r="D10" s="27" t="s">
        <v>20</v>
      </c>
    </row>
    <row r="11" spans="1:4" ht="14.25" customHeight="1" x14ac:dyDescent="0.3">
      <c r="A11" s="82">
        <v>46057</v>
      </c>
      <c r="B11" s="83" t="s">
        <v>154</v>
      </c>
      <c r="C11" s="76">
        <v>3508</v>
      </c>
      <c r="D11" s="27" t="s">
        <v>20</v>
      </c>
    </row>
    <row r="12" spans="1:4" ht="14.25" customHeight="1" x14ac:dyDescent="0.3">
      <c r="A12" s="75">
        <v>46057</v>
      </c>
      <c r="B12" s="27" t="s">
        <v>155</v>
      </c>
      <c r="C12" s="76">
        <v>350000</v>
      </c>
      <c r="D12" s="27" t="s">
        <v>20</v>
      </c>
    </row>
    <row r="13" spans="1:4" ht="14.25" customHeight="1" x14ac:dyDescent="0.3">
      <c r="A13" s="75">
        <v>46058</v>
      </c>
      <c r="B13" s="27" t="s">
        <v>155</v>
      </c>
      <c r="C13" s="76">
        <v>100000</v>
      </c>
      <c r="D13" s="27" t="s">
        <v>20</v>
      </c>
    </row>
    <row r="14" spans="1:4" ht="14.25" customHeight="1" x14ac:dyDescent="0.3">
      <c r="A14" s="75">
        <v>46062</v>
      </c>
      <c r="B14" s="27" t="s">
        <v>142</v>
      </c>
      <c r="C14" s="76">
        <v>9366.76</v>
      </c>
      <c r="D14" s="27" t="s">
        <v>20</v>
      </c>
    </row>
    <row r="15" spans="1:4" ht="14.25" customHeight="1" x14ac:dyDescent="0.3">
      <c r="A15" s="75">
        <v>46062</v>
      </c>
      <c r="B15" s="27" t="s">
        <v>156</v>
      </c>
      <c r="C15" s="76">
        <v>78238.45</v>
      </c>
      <c r="D15" s="27" t="s">
        <v>20</v>
      </c>
    </row>
    <row r="16" spans="1:4" ht="14.25" customHeight="1" x14ac:dyDescent="0.3">
      <c r="A16" s="75">
        <v>46062</v>
      </c>
      <c r="B16" s="27" t="s">
        <v>157</v>
      </c>
      <c r="C16" s="76">
        <v>4008.37</v>
      </c>
      <c r="D16" s="27" t="s">
        <v>20</v>
      </c>
    </row>
    <row r="17" spans="1:14" ht="14.25" customHeight="1" x14ac:dyDescent="0.3">
      <c r="A17" s="75">
        <v>46062</v>
      </c>
      <c r="B17" s="27" t="s">
        <v>156</v>
      </c>
      <c r="C17" s="76">
        <v>26856</v>
      </c>
      <c r="D17" s="27" t="s">
        <v>20</v>
      </c>
    </row>
    <row r="18" spans="1:14" ht="14.25" customHeight="1" x14ac:dyDescent="0.3">
      <c r="A18" s="75">
        <v>46062</v>
      </c>
      <c r="B18" s="27" t="s">
        <v>156</v>
      </c>
      <c r="C18" s="76">
        <v>254.59</v>
      </c>
      <c r="D18" s="27" t="s">
        <v>20</v>
      </c>
    </row>
    <row r="19" spans="1:14" ht="14.25" customHeight="1" x14ac:dyDescent="0.3">
      <c r="A19" s="75">
        <v>46063</v>
      </c>
      <c r="B19" s="27" t="s">
        <v>158</v>
      </c>
      <c r="C19" s="76">
        <v>335000</v>
      </c>
      <c r="D19" s="27" t="s">
        <v>16</v>
      </c>
    </row>
    <row r="20" spans="1:14" ht="14.25" customHeight="1" x14ac:dyDescent="0.3">
      <c r="A20" s="75">
        <v>46063</v>
      </c>
      <c r="B20" s="27" t="s">
        <v>159</v>
      </c>
      <c r="C20" s="76">
        <v>400000</v>
      </c>
      <c r="D20" s="27" t="s">
        <v>16</v>
      </c>
    </row>
    <row r="21" spans="1:14" ht="14.25" customHeight="1" x14ac:dyDescent="0.3">
      <c r="A21" s="75">
        <v>46063</v>
      </c>
      <c r="B21" s="27" t="s">
        <v>144</v>
      </c>
      <c r="C21" s="76">
        <v>345000</v>
      </c>
      <c r="D21" s="27" t="s">
        <v>20</v>
      </c>
    </row>
    <row r="22" spans="1:14" ht="14.25" customHeight="1" x14ac:dyDescent="0.3">
      <c r="A22" s="75">
        <v>46063</v>
      </c>
      <c r="B22" s="27" t="s">
        <v>155</v>
      </c>
      <c r="C22" s="76">
        <v>165008.38</v>
      </c>
      <c r="D22" s="27" t="s">
        <v>20</v>
      </c>
    </row>
    <row r="23" spans="1:14" ht="14.25" customHeight="1" x14ac:dyDescent="0.3">
      <c r="A23" s="75">
        <v>46063</v>
      </c>
      <c r="B23" s="85" t="s">
        <v>160</v>
      </c>
      <c r="C23" s="76">
        <v>233016.76</v>
      </c>
      <c r="D23" s="27" t="s">
        <v>20</v>
      </c>
    </row>
    <row r="24" spans="1:14" ht="14.25" customHeight="1" x14ac:dyDescent="0.3">
      <c r="A24" s="75">
        <v>46065</v>
      </c>
      <c r="B24" s="27" t="s">
        <v>155</v>
      </c>
      <c r="C24" s="76">
        <v>200008.38</v>
      </c>
      <c r="D24" s="27" t="s">
        <v>20</v>
      </c>
    </row>
    <row r="25" spans="1:14" ht="14.25" customHeight="1" x14ac:dyDescent="0.3">
      <c r="A25" s="75">
        <v>46066</v>
      </c>
      <c r="B25" s="27" t="s">
        <v>161</v>
      </c>
      <c r="C25" s="76">
        <v>50016.76</v>
      </c>
      <c r="D25" s="27" t="s">
        <v>20</v>
      </c>
    </row>
    <row r="26" spans="1:14" ht="14.25" customHeight="1" x14ac:dyDescent="0.3">
      <c r="A26" s="75">
        <v>46069</v>
      </c>
      <c r="B26" s="27" t="s">
        <v>162</v>
      </c>
      <c r="C26" s="76">
        <v>963000</v>
      </c>
      <c r="D26" s="27" t="s">
        <v>20</v>
      </c>
    </row>
    <row r="27" spans="1:14" ht="14.25" customHeight="1" x14ac:dyDescent="0.3">
      <c r="A27" s="75">
        <v>46069</v>
      </c>
      <c r="B27" s="27" t="s">
        <v>163</v>
      </c>
      <c r="C27" s="76">
        <v>27722.76</v>
      </c>
      <c r="D27" s="27" t="s">
        <v>20</v>
      </c>
    </row>
    <row r="28" spans="1:14" ht="14.25" customHeight="1" x14ac:dyDescent="0.3">
      <c r="A28" s="75">
        <v>46069</v>
      </c>
      <c r="B28" s="85" t="s">
        <v>164</v>
      </c>
      <c r="C28" s="76">
        <v>15400</v>
      </c>
      <c r="D28" s="27" t="s">
        <v>20</v>
      </c>
    </row>
    <row r="29" spans="1:14" ht="14.25" customHeight="1" x14ac:dyDescent="0.3">
      <c r="A29" s="75">
        <v>46069</v>
      </c>
      <c r="B29" s="27" t="s">
        <v>165</v>
      </c>
      <c r="C29" s="76">
        <v>6600</v>
      </c>
      <c r="D29" s="27" t="s">
        <v>20</v>
      </c>
      <c r="L29" s="80" t="s">
        <v>42</v>
      </c>
      <c r="M29" s="80" t="s">
        <v>45</v>
      </c>
      <c r="N29" s="80" t="s">
        <v>107</v>
      </c>
    </row>
    <row r="30" spans="1:14" ht="14.25" customHeight="1" x14ac:dyDescent="0.3">
      <c r="A30" s="75">
        <v>46070</v>
      </c>
      <c r="B30" s="27" t="s">
        <v>166</v>
      </c>
      <c r="C30" s="76">
        <v>50016.76</v>
      </c>
      <c r="D30" s="27" t="s">
        <v>20</v>
      </c>
      <c r="L30" s="79">
        <f>SUMIF(D4:D51,"N",C4:C51)</f>
        <v>3956053.9699999988</v>
      </c>
      <c r="M30" s="79">
        <f>SUMIF(D4:D51,"D",C4:C51)</f>
        <v>735000</v>
      </c>
      <c r="N30" s="79">
        <v>33504000</v>
      </c>
    </row>
    <row r="31" spans="1:14" ht="14.25" customHeight="1" x14ac:dyDescent="0.3"/>
    <row r="32" spans="1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N1000"/>
  <sheetViews>
    <sheetView topLeftCell="A7" workbookViewId="0">
      <selection activeCell="L29" sqref="L29"/>
    </sheetView>
  </sheetViews>
  <sheetFormatPr defaultColWidth="14.44140625" defaultRowHeight="15" customHeight="1" x14ac:dyDescent="0.3"/>
  <cols>
    <col min="1" max="1" width="11" customWidth="1"/>
    <col min="2" max="2" width="53.88671875" customWidth="1"/>
    <col min="3" max="3" width="26.6640625" customWidth="1"/>
    <col min="4" max="4" width="10.6640625" customWidth="1"/>
    <col min="5" max="11" width="8.6640625" customWidth="1"/>
    <col min="12" max="12" width="18.109375" customWidth="1"/>
    <col min="13" max="13" width="21.6640625" customWidth="1"/>
    <col min="14" max="14" width="34.6640625" customWidth="1"/>
    <col min="15" max="26" width="8.6640625" customWidth="1"/>
  </cols>
  <sheetData>
    <row r="1" spans="1:4" ht="14.25" customHeight="1" x14ac:dyDescent="0.55000000000000004">
      <c r="A1" s="158" t="s">
        <v>100</v>
      </c>
      <c r="B1" s="156"/>
      <c r="C1" s="156"/>
    </row>
    <row r="2" spans="1:4" ht="14.25" customHeight="1" x14ac:dyDescent="0.3"/>
    <row r="3" spans="1: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4" ht="21" customHeight="1" x14ac:dyDescent="0.3">
      <c r="A4" s="75">
        <v>46027</v>
      </c>
      <c r="B4" s="27" t="s">
        <v>167</v>
      </c>
      <c r="C4" s="76">
        <v>8012.8</v>
      </c>
      <c r="D4" s="27" t="s">
        <v>20</v>
      </c>
    </row>
    <row r="5" spans="1:4" ht="14.25" customHeight="1" x14ac:dyDescent="0.3">
      <c r="A5" s="75">
        <v>46027</v>
      </c>
      <c r="B5" s="27" t="s">
        <v>168</v>
      </c>
      <c r="C5" s="76">
        <v>4406.3999999999996</v>
      </c>
      <c r="D5" s="27" t="s">
        <v>20</v>
      </c>
    </row>
    <row r="6" spans="1:4" ht="14.25" customHeight="1" x14ac:dyDescent="0.3">
      <c r="A6" s="75">
        <v>46027</v>
      </c>
      <c r="B6" s="27" t="s">
        <v>169</v>
      </c>
      <c r="C6" s="76">
        <v>9406.39</v>
      </c>
      <c r="D6" s="27" t="s">
        <v>20</v>
      </c>
    </row>
    <row r="7" spans="1:4" ht="14.25" customHeight="1" x14ac:dyDescent="0.3">
      <c r="A7" s="75">
        <v>46027</v>
      </c>
      <c r="B7" s="27" t="s">
        <v>170</v>
      </c>
      <c r="C7" s="76">
        <v>960180</v>
      </c>
      <c r="D7" s="27" t="s">
        <v>20</v>
      </c>
    </row>
    <row r="8" spans="1:4" ht="14.25" customHeight="1" x14ac:dyDescent="0.3">
      <c r="A8" s="75">
        <v>46028</v>
      </c>
      <c r="B8" s="27" t="s">
        <v>171</v>
      </c>
      <c r="C8" s="76">
        <v>800000</v>
      </c>
      <c r="D8" s="27" t="s">
        <v>16</v>
      </c>
    </row>
    <row r="9" spans="1:4" ht="14.25" customHeight="1" x14ac:dyDescent="0.3">
      <c r="A9" s="75">
        <v>46028</v>
      </c>
      <c r="B9" s="27" t="s">
        <v>172</v>
      </c>
      <c r="C9" s="76">
        <v>308079.98</v>
      </c>
      <c r="D9" s="27" t="s">
        <v>20</v>
      </c>
    </row>
    <row r="10" spans="1:4" ht="14.25" customHeight="1" x14ac:dyDescent="0.3">
      <c r="A10" s="75">
        <v>46030</v>
      </c>
      <c r="B10" s="27" t="s">
        <v>173</v>
      </c>
      <c r="C10" s="76">
        <v>35600</v>
      </c>
      <c r="D10" s="27" t="s">
        <v>20</v>
      </c>
    </row>
    <row r="11" spans="1:4" ht="14.25" customHeight="1" x14ac:dyDescent="0.3">
      <c r="A11" s="82">
        <v>46034</v>
      </c>
      <c r="B11" s="83" t="s">
        <v>174</v>
      </c>
      <c r="C11" s="76">
        <v>165016.76</v>
      </c>
      <c r="D11" s="27" t="s">
        <v>20</v>
      </c>
    </row>
    <row r="12" spans="1:4" ht="14.25" customHeight="1" x14ac:dyDescent="0.3">
      <c r="A12" s="75">
        <v>46034</v>
      </c>
      <c r="B12" s="27" t="s">
        <v>172</v>
      </c>
      <c r="C12" s="76">
        <v>300008.38</v>
      </c>
      <c r="D12" s="27" t="s">
        <v>20</v>
      </c>
    </row>
    <row r="13" spans="1:4" ht="14.25" customHeight="1" x14ac:dyDescent="0.3">
      <c r="A13" s="75">
        <v>46034</v>
      </c>
      <c r="B13" s="27" t="s">
        <v>172</v>
      </c>
      <c r="C13" s="76">
        <v>90008.38</v>
      </c>
      <c r="D13" s="27" t="s">
        <v>20</v>
      </c>
    </row>
    <row r="14" spans="1:4" ht="14.25" customHeight="1" x14ac:dyDescent="0.3">
      <c r="A14" s="75">
        <v>46035</v>
      </c>
      <c r="B14" s="27" t="s">
        <v>172</v>
      </c>
      <c r="C14" s="76">
        <v>60008.38</v>
      </c>
      <c r="D14" s="27" t="s">
        <v>20</v>
      </c>
    </row>
    <row r="15" spans="1:4" ht="14.25" customHeight="1" x14ac:dyDescent="0.3">
      <c r="A15" s="75">
        <v>46038</v>
      </c>
      <c r="B15" s="27" t="s">
        <v>175</v>
      </c>
      <c r="C15" s="76">
        <v>8000</v>
      </c>
      <c r="D15" s="27" t="s">
        <v>20</v>
      </c>
    </row>
    <row r="16" spans="1:4" ht="14.25" customHeight="1" x14ac:dyDescent="0.3">
      <c r="A16" s="75">
        <v>46023</v>
      </c>
      <c r="B16" s="27" t="s">
        <v>176</v>
      </c>
      <c r="C16" s="76">
        <v>600000</v>
      </c>
      <c r="D16" s="27" t="s">
        <v>16</v>
      </c>
    </row>
    <row r="17" spans="1:14" ht="14.25" customHeight="1" x14ac:dyDescent="0.3">
      <c r="A17" s="75">
        <v>46042</v>
      </c>
      <c r="B17" s="27" t="s">
        <v>177</v>
      </c>
      <c r="C17" s="76">
        <v>66684.600000000006</v>
      </c>
      <c r="D17" s="27" t="s">
        <v>16</v>
      </c>
    </row>
    <row r="18" spans="1:14" ht="14.25" customHeight="1" x14ac:dyDescent="0.3">
      <c r="A18" s="75">
        <v>46048</v>
      </c>
      <c r="B18" s="27" t="s">
        <v>178</v>
      </c>
      <c r="C18" s="76">
        <v>725000</v>
      </c>
      <c r="D18" s="27" t="s">
        <v>20</v>
      </c>
    </row>
    <row r="19" spans="1:14" ht="14.25" customHeight="1" x14ac:dyDescent="0.3">
      <c r="A19" s="75">
        <v>46051</v>
      </c>
      <c r="B19" s="27" t="s">
        <v>179</v>
      </c>
      <c r="C19" s="76">
        <v>1100000</v>
      </c>
      <c r="D19" s="27" t="s">
        <v>20</v>
      </c>
    </row>
    <row r="20" spans="1:14" ht="14.25" customHeight="1" x14ac:dyDescent="0.3">
      <c r="A20" s="75">
        <v>46049</v>
      </c>
      <c r="B20" s="27" t="s">
        <v>180</v>
      </c>
      <c r="C20" s="76">
        <v>28730</v>
      </c>
      <c r="D20" s="27" t="s">
        <v>20</v>
      </c>
    </row>
    <row r="21" spans="1:14" ht="14.25" customHeight="1" x14ac:dyDescent="0.3">
      <c r="A21" s="88">
        <v>46023</v>
      </c>
      <c r="B21" s="27" t="s">
        <v>181</v>
      </c>
      <c r="C21" s="76">
        <v>63166.31</v>
      </c>
      <c r="D21" s="27" t="s">
        <v>20</v>
      </c>
    </row>
    <row r="22" spans="1:14" ht="14.25" customHeight="1" x14ac:dyDescent="0.3">
      <c r="A22" s="75">
        <v>46052</v>
      </c>
      <c r="B22" s="85" t="s">
        <v>182</v>
      </c>
      <c r="C22" s="76">
        <v>15633.69</v>
      </c>
      <c r="D22" s="27" t="s">
        <v>20</v>
      </c>
    </row>
    <row r="23" spans="1:14" ht="14.25" customHeight="1" x14ac:dyDescent="0.3">
      <c r="A23" s="75">
        <v>46052</v>
      </c>
      <c r="B23" s="27" t="s">
        <v>183</v>
      </c>
      <c r="C23" s="76">
        <v>58518</v>
      </c>
      <c r="D23" s="27" t="s">
        <v>20</v>
      </c>
    </row>
    <row r="24" spans="1:14" ht="14.25" customHeight="1" x14ac:dyDescent="0.3"/>
    <row r="25" spans="1:14" ht="14.25" customHeight="1" x14ac:dyDescent="0.3"/>
    <row r="26" spans="1:14" ht="14.25" customHeight="1" x14ac:dyDescent="0.3"/>
    <row r="27" spans="1:14" ht="14.25" customHeight="1" x14ac:dyDescent="0.3"/>
    <row r="28" spans="1:14" ht="14.25" customHeight="1" x14ac:dyDescent="0.3">
      <c r="L28" s="80" t="s">
        <v>42</v>
      </c>
      <c r="M28" s="80" t="s">
        <v>45</v>
      </c>
      <c r="N28" s="80" t="s">
        <v>107</v>
      </c>
    </row>
    <row r="29" spans="1:14" ht="14.25" customHeight="1" x14ac:dyDescent="0.3">
      <c r="L29" s="79">
        <f>SUMIF(D4:D50,"N",C4:C50)</f>
        <v>3939775.4699999997</v>
      </c>
      <c r="M29" s="79">
        <f>SUMIF(D4:D50,"D",C4:C50)</f>
        <v>1466684.6</v>
      </c>
      <c r="N29" s="79">
        <v>33504000</v>
      </c>
    </row>
    <row r="30" spans="1:14" ht="14.25" customHeight="1" x14ac:dyDescent="0.3"/>
    <row r="31" spans="1:14" ht="14.25" customHeight="1" x14ac:dyDescent="0.3"/>
    <row r="32" spans="1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N1000"/>
  <sheetViews>
    <sheetView workbookViewId="0">
      <selection activeCell="C4" sqref="C4:C26"/>
    </sheetView>
  </sheetViews>
  <sheetFormatPr defaultColWidth="14.44140625" defaultRowHeight="15" customHeight="1" x14ac:dyDescent="0.3"/>
  <cols>
    <col min="1" max="1" width="11.33203125" customWidth="1"/>
    <col min="2" max="2" width="46.88671875" customWidth="1"/>
    <col min="3" max="3" width="26.6640625" customWidth="1"/>
    <col min="4" max="4" width="10.6640625" customWidth="1"/>
    <col min="5" max="11" width="8.6640625" customWidth="1"/>
    <col min="12" max="12" width="18.109375" customWidth="1"/>
    <col min="13" max="13" width="23.88671875" customWidth="1"/>
    <col min="14" max="14" width="34.6640625" customWidth="1"/>
    <col min="15" max="26" width="8.6640625" customWidth="1"/>
  </cols>
  <sheetData>
    <row r="1" spans="1:14" ht="14.25" customHeight="1" x14ac:dyDescent="0.55000000000000004">
      <c r="A1" s="158" t="s">
        <v>100</v>
      </c>
      <c r="B1" s="156"/>
      <c r="C1" s="156"/>
    </row>
    <row r="2" spans="1:14" ht="14.25" customHeight="1" x14ac:dyDescent="0.3"/>
    <row r="3" spans="1:14" ht="14.25" customHeight="1" x14ac:dyDescent="0.3">
      <c r="A3" s="80" t="s">
        <v>7</v>
      </c>
      <c r="B3" s="80" t="s">
        <v>10</v>
      </c>
      <c r="C3" s="80" t="s">
        <v>95</v>
      </c>
      <c r="D3" s="80" t="s">
        <v>10</v>
      </c>
    </row>
    <row r="4" spans="1:14" ht="14.25" customHeight="1" x14ac:dyDescent="0.3">
      <c r="A4" s="89">
        <v>45685</v>
      </c>
      <c r="B4" s="80" t="s">
        <v>184</v>
      </c>
      <c r="C4" s="76">
        <v>4135</v>
      </c>
      <c r="D4" s="27" t="s">
        <v>20</v>
      </c>
    </row>
    <row r="5" spans="1:14" ht="14.25" customHeight="1" x14ac:dyDescent="0.3">
      <c r="A5" s="80"/>
      <c r="B5" s="80" t="s">
        <v>185</v>
      </c>
      <c r="C5" s="76">
        <v>39800</v>
      </c>
      <c r="D5" s="27" t="s">
        <v>20</v>
      </c>
    </row>
    <row r="6" spans="1:14" ht="14.25" customHeight="1" x14ac:dyDescent="0.3">
      <c r="A6" s="89">
        <v>45958</v>
      </c>
      <c r="B6" s="80" t="s">
        <v>186</v>
      </c>
      <c r="C6" s="76">
        <v>17225</v>
      </c>
      <c r="D6" s="27" t="s">
        <v>20</v>
      </c>
    </row>
    <row r="7" spans="1:14" ht="14.25" customHeight="1" x14ac:dyDescent="0.3">
      <c r="A7" s="89"/>
      <c r="B7" s="80" t="s">
        <v>187</v>
      </c>
      <c r="C7" s="76">
        <v>1630</v>
      </c>
      <c r="D7" s="27" t="s">
        <v>20</v>
      </c>
    </row>
    <row r="8" spans="1:14" ht="14.25" customHeight="1" x14ac:dyDescent="0.3">
      <c r="A8" s="89"/>
      <c r="B8" s="80" t="s">
        <v>188</v>
      </c>
      <c r="C8" s="76">
        <v>24000</v>
      </c>
      <c r="D8" s="27" t="s">
        <v>20</v>
      </c>
    </row>
    <row r="9" spans="1:14" ht="13.5" customHeight="1" x14ac:dyDescent="0.3">
      <c r="A9" s="89">
        <v>45971</v>
      </c>
      <c r="B9" s="80" t="s">
        <v>189</v>
      </c>
      <c r="C9" s="76">
        <v>20600</v>
      </c>
      <c r="D9" s="27" t="s">
        <v>20</v>
      </c>
    </row>
    <row r="10" spans="1:14" ht="13.5" customHeight="1" x14ac:dyDescent="0.3">
      <c r="A10" s="89">
        <v>46000</v>
      </c>
      <c r="B10" s="80" t="s">
        <v>190</v>
      </c>
      <c r="C10" s="76">
        <v>8250</v>
      </c>
      <c r="D10" s="27" t="s">
        <v>20</v>
      </c>
      <c r="N10" s="79"/>
    </row>
    <row r="11" spans="1:14" ht="14.25" customHeight="1" x14ac:dyDescent="0.3">
      <c r="A11" s="89">
        <v>46000</v>
      </c>
      <c r="B11" s="80" t="s">
        <v>191</v>
      </c>
      <c r="C11" s="76">
        <v>3480</v>
      </c>
      <c r="D11" s="27" t="s">
        <v>20</v>
      </c>
    </row>
    <row r="12" spans="1:14" ht="14.25" customHeight="1" x14ac:dyDescent="0.3">
      <c r="A12" s="89">
        <v>46000</v>
      </c>
      <c r="B12" s="80" t="s">
        <v>192</v>
      </c>
      <c r="C12" s="76">
        <v>4050</v>
      </c>
      <c r="D12" s="27" t="s">
        <v>20</v>
      </c>
    </row>
    <row r="13" spans="1:14" ht="14.25" customHeight="1" x14ac:dyDescent="0.3">
      <c r="A13" s="89">
        <v>46015</v>
      </c>
      <c r="B13" s="80" t="s">
        <v>193</v>
      </c>
      <c r="C13" s="76">
        <v>332303</v>
      </c>
      <c r="D13" s="27" t="s">
        <v>20</v>
      </c>
    </row>
    <row r="14" spans="1:14" ht="14.25" customHeight="1" x14ac:dyDescent="0.3">
      <c r="A14" s="75">
        <v>46015</v>
      </c>
      <c r="B14" s="85" t="s">
        <v>194</v>
      </c>
      <c r="C14" s="76">
        <v>1050000</v>
      </c>
      <c r="D14" s="27" t="s">
        <v>20</v>
      </c>
    </row>
    <row r="15" spans="1:14" ht="14.25" customHeight="1" x14ac:dyDescent="0.3">
      <c r="B15" s="27" t="s">
        <v>195</v>
      </c>
      <c r="C15" s="76">
        <v>725400</v>
      </c>
      <c r="D15" s="27" t="s">
        <v>20</v>
      </c>
    </row>
    <row r="16" spans="1:14" ht="14.25" customHeight="1" x14ac:dyDescent="0.3">
      <c r="B16" s="27" t="s">
        <v>196</v>
      </c>
      <c r="C16" s="76">
        <v>400000</v>
      </c>
      <c r="D16" s="27" t="s">
        <v>16</v>
      </c>
    </row>
    <row r="17" spans="1:14" ht="14.25" customHeight="1" x14ac:dyDescent="0.3">
      <c r="B17" s="27" t="s">
        <v>197</v>
      </c>
      <c r="C17" s="76">
        <v>25000</v>
      </c>
      <c r="D17" s="27" t="s">
        <v>20</v>
      </c>
    </row>
    <row r="18" spans="1:14" ht="14.25" customHeight="1" x14ac:dyDescent="0.3">
      <c r="B18" s="27" t="s">
        <v>198</v>
      </c>
      <c r="C18" s="76">
        <v>15750</v>
      </c>
      <c r="D18" s="27" t="s">
        <v>20</v>
      </c>
    </row>
    <row r="19" spans="1:14" ht="14.25" customHeight="1" x14ac:dyDescent="0.3">
      <c r="A19" s="75">
        <v>45993</v>
      </c>
      <c r="B19" s="27" t="s">
        <v>199</v>
      </c>
      <c r="C19" s="76">
        <v>1500</v>
      </c>
      <c r="D19" s="27" t="s">
        <v>20</v>
      </c>
    </row>
    <row r="20" spans="1:14" ht="14.25" customHeight="1" x14ac:dyDescent="0.3">
      <c r="B20" s="27" t="s">
        <v>200</v>
      </c>
      <c r="C20" s="76">
        <v>10096</v>
      </c>
      <c r="D20" s="27" t="s">
        <v>20</v>
      </c>
    </row>
    <row r="21" spans="1:14" ht="14.25" customHeight="1" x14ac:dyDescent="0.3">
      <c r="B21" s="27" t="s">
        <v>201</v>
      </c>
      <c r="C21" s="76">
        <v>13000</v>
      </c>
      <c r="D21" s="27" t="s">
        <v>20</v>
      </c>
    </row>
    <row r="22" spans="1:14" ht="14.25" customHeight="1" x14ac:dyDescent="0.3">
      <c r="B22" s="27" t="s">
        <v>202</v>
      </c>
      <c r="C22" s="76">
        <v>12000</v>
      </c>
      <c r="D22" s="27" t="s">
        <v>20</v>
      </c>
    </row>
    <row r="23" spans="1:14" ht="14.25" customHeight="1" x14ac:dyDescent="0.3">
      <c r="A23" s="75">
        <v>46020</v>
      </c>
      <c r="B23" s="27" t="s">
        <v>203</v>
      </c>
      <c r="C23" s="76">
        <v>100000</v>
      </c>
      <c r="D23" s="27" t="s">
        <v>20</v>
      </c>
    </row>
    <row r="24" spans="1:14" ht="14.25" customHeight="1" x14ac:dyDescent="0.3">
      <c r="A24" s="75">
        <v>46020</v>
      </c>
      <c r="B24" s="27" t="s">
        <v>204</v>
      </c>
      <c r="C24" s="76">
        <v>19800</v>
      </c>
      <c r="D24" s="27" t="s">
        <v>20</v>
      </c>
    </row>
    <row r="25" spans="1:14" ht="14.25" customHeight="1" x14ac:dyDescent="0.3">
      <c r="A25" s="75">
        <v>46022</v>
      </c>
      <c r="B25" s="27" t="s">
        <v>205</v>
      </c>
      <c r="C25" s="76">
        <v>165012.79999999999</v>
      </c>
      <c r="D25" s="27" t="s">
        <v>20</v>
      </c>
    </row>
    <row r="26" spans="1:14" ht="14.25" customHeight="1" x14ac:dyDescent="0.3">
      <c r="A26" s="75"/>
      <c r="C26" s="79"/>
    </row>
    <row r="27" spans="1:14" ht="14.25" customHeight="1" x14ac:dyDescent="0.3">
      <c r="A27" s="75"/>
      <c r="C27" s="79"/>
    </row>
    <row r="28" spans="1:14" ht="14.25" customHeight="1" x14ac:dyDescent="0.3">
      <c r="A28" s="75"/>
      <c r="C28" s="79"/>
    </row>
    <row r="29" spans="1:14" ht="14.25" customHeight="1" x14ac:dyDescent="0.3">
      <c r="A29" s="75"/>
      <c r="C29" s="79"/>
    </row>
    <row r="30" spans="1:14" ht="14.25" customHeight="1" x14ac:dyDescent="0.3">
      <c r="C30" s="79"/>
    </row>
    <row r="31" spans="1:14" ht="14.25" customHeight="1" x14ac:dyDescent="0.3">
      <c r="C31" s="79"/>
    </row>
    <row r="32" spans="1:14" ht="14.25" customHeight="1" x14ac:dyDescent="0.3">
      <c r="C32" s="79"/>
      <c r="L32" s="80" t="s">
        <v>42</v>
      </c>
      <c r="M32" s="80" t="s">
        <v>45</v>
      </c>
      <c r="N32" s="80" t="s">
        <v>107</v>
      </c>
    </row>
    <row r="33" spans="3:14" ht="14.25" customHeight="1" x14ac:dyDescent="0.3">
      <c r="C33" s="79"/>
      <c r="L33" s="79">
        <f>SUMIF(D4:D25,"N",C4:C25)</f>
        <v>2593031.7999999998</v>
      </c>
      <c r="M33" s="79">
        <f>SUMIF(D4:D25,"D",C4:C25)</f>
        <v>400000</v>
      </c>
      <c r="N33" s="79">
        <v>33504000</v>
      </c>
    </row>
    <row r="34" spans="3:14" ht="14.25" customHeight="1" x14ac:dyDescent="0.3">
      <c r="C34" s="79"/>
      <c r="L34" s="79"/>
      <c r="M34" s="79"/>
    </row>
    <row r="35" spans="3:14" ht="14.25" customHeight="1" x14ac:dyDescent="0.3">
      <c r="C35" s="79"/>
    </row>
    <row r="36" spans="3:14" ht="14.25" customHeight="1" x14ac:dyDescent="0.3">
      <c r="C36" s="79"/>
    </row>
    <row r="37" spans="3:14" ht="14.25" customHeight="1" x14ac:dyDescent="0.3"/>
    <row r="38" spans="3:14" ht="14.25" customHeight="1" x14ac:dyDescent="0.3"/>
    <row r="39" spans="3:14" ht="14.25" customHeight="1" x14ac:dyDescent="0.3"/>
    <row r="40" spans="3:14" ht="14.25" customHeight="1" x14ac:dyDescent="0.3"/>
    <row r="41" spans="3:14" ht="14.25" customHeight="1" x14ac:dyDescent="0.3"/>
    <row r="42" spans="3:14" ht="14.25" customHeight="1" x14ac:dyDescent="0.3"/>
    <row r="43" spans="3:14" ht="14.25" customHeight="1" x14ac:dyDescent="0.3"/>
    <row r="44" spans="3:14" ht="14.25" customHeight="1" x14ac:dyDescent="0.3"/>
    <row r="45" spans="3:14" ht="14.25" customHeight="1" x14ac:dyDescent="0.3"/>
    <row r="46" spans="3:14" ht="14.25" customHeight="1" x14ac:dyDescent="0.3"/>
    <row r="47" spans="3:14" ht="14.25" customHeight="1" x14ac:dyDescent="0.3"/>
    <row r="48" spans="3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MALİK ÖDEMELERİ</vt:lpstr>
      <vt:lpstr>FON GELİR-GİDER</vt:lpstr>
      <vt:lpstr>GİDERLER TEMMUZ 2026</vt:lpstr>
      <vt:lpstr>GİDERLER HAZİRAN 2026</vt:lpstr>
      <vt:lpstr>GİDERLER MAYIS 2026</vt:lpstr>
      <vt:lpstr>GİDERLER NİSAN 2026</vt:lpstr>
      <vt:lpstr>GİDERLER MART 2026</vt:lpstr>
      <vt:lpstr>GİDERLER ŞUBAT 2026</vt:lpstr>
      <vt:lpstr>GİDERLER OCAK 2026</vt:lpstr>
      <vt:lpstr>GİDER ARALIK 2025 VE ÖNCESİ(2)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</dc:creator>
  <cp:lastModifiedBy>eSSe</cp:lastModifiedBy>
  <cp:lastPrinted>2026-04-10T16:34:53Z</cp:lastPrinted>
  <dcterms:created xsi:type="dcterms:W3CDTF">2026-01-01T08:29:32Z</dcterms:created>
  <dcterms:modified xsi:type="dcterms:W3CDTF">2026-07-27T15:45:12Z</dcterms:modified>
</cp:coreProperties>
</file>